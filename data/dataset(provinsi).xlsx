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Downloads\visdat-hunian-layak\visdat-hunian\data\"/>
    </mc:Choice>
  </mc:AlternateContent>
  <xr:revisionPtr revIDLastSave="0" documentId="13_ncr:1_{DFFADBE3-D9D0-4560-9D58-A5612DCEFBC3}" xr6:coauthVersionLast="45" xr6:coauthVersionMax="45" xr10:uidLastSave="{00000000-0000-0000-0000-000000000000}"/>
  <bookViews>
    <workbookView xWindow="-110" yWindow="-110" windowWidth="19420" windowHeight="10300" tabRatio="500" xr2:uid="{00000000-000D-0000-FFFF-FFFF00000000}"/>
  </bookViews>
  <sheets>
    <sheet name="provinsi" sheetId="1" r:id="rId1"/>
    <sheet name="Keterangan" sheetId="2" r:id="rId2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40" i="1" l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</calcChain>
</file>

<file path=xl/sharedStrings.xml><?xml version="1.0" encoding="utf-8"?>
<sst xmlns="http://schemas.openxmlformats.org/spreadsheetml/2006/main" count="183" uniqueCount="145">
  <si>
    <t>kode_prov</t>
  </si>
  <si>
    <t>nama_prov</t>
  </si>
  <si>
    <t>pulau</t>
  </si>
  <si>
    <t>penduduk_2025</t>
  </si>
  <si>
    <t>b1_pct_2025</t>
  </si>
  <si>
    <t>b1_pct_2026</t>
  </si>
  <si>
    <t>b1_n_2025</t>
  </si>
  <si>
    <t>b1_n_2026</t>
  </si>
  <si>
    <t>b2_pct_2025</t>
  </si>
  <si>
    <t>b2_pct_2026</t>
  </si>
  <si>
    <t>b2_n_2025</t>
  </si>
  <si>
    <t>b2_n_2026</t>
  </si>
  <si>
    <t>rumah_layak_huni_2025</t>
  </si>
  <si>
    <t>rumah_layak_huni_2026</t>
  </si>
  <si>
    <t>bangunan_2025</t>
  </si>
  <si>
    <t>bangunan_2026</t>
  </si>
  <si>
    <t>lantai_2025</t>
  </si>
  <si>
    <t>lantai_2026</t>
  </si>
  <si>
    <t>air_2025</t>
  </si>
  <si>
    <t>air_2026</t>
  </si>
  <si>
    <t>sanitasi_2025</t>
  </si>
  <si>
    <t>sanitasi_2026</t>
  </si>
  <si>
    <t>asbes_pct_2025</t>
  </si>
  <si>
    <t>asbes_pct_2026</t>
  </si>
  <si>
    <t>babs_pct_2025</t>
  </si>
  <si>
    <t>babs_pct_2026</t>
  </si>
  <si>
    <t>pen_pln_2025</t>
  </si>
  <si>
    <t>pen_nonpln_2025</t>
  </si>
  <si>
    <t>pen_bukanlistrik_2025</t>
  </si>
  <si>
    <t>pen_pln_2026</t>
  </si>
  <si>
    <t>pen_nonpln_2026</t>
  </si>
  <si>
    <t>pen_bukanlistrik_2026</t>
  </si>
  <si>
    <t>keluhan_kesehatan_pct_2025</t>
  </si>
  <si>
    <t>diare_n</t>
  </si>
  <si>
    <t>diare_pct</t>
  </si>
  <si>
    <t>tbc_cakupan_pct</t>
  </si>
  <si>
    <t>dbd_per100.000</t>
  </si>
  <si>
    <t>miskin_2025</t>
  </si>
  <si>
    <t>11</t>
  </si>
  <si>
    <t>ACEH</t>
  </si>
  <si>
    <t>SUMATERA</t>
  </si>
  <si>
    <t>12</t>
  </si>
  <si>
    <t>SUMATERA UTARA</t>
  </si>
  <si>
    <t>13</t>
  </si>
  <si>
    <t>SUMATERA BARAT</t>
  </si>
  <si>
    <t>14</t>
  </si>
  <si>
    <t>RIAU</t>
  </si>
  <si>
    <t>15</t>
  </si>
  <si>
    <t>JAMBI</t>
  </si>
  <si>
    <t>16</t>
  </si>
  <si>
    <t>SUMATERA SELATAN</t>
  </si>
  <si>
    <t>17</t>
  </si>
  <si>
    <t>BENGKULU</t>
  </si>
  <si>
    <t>18</t>
  </si>
  <si>
    <t>LAMPUNG</t>
  </si>
  <si>
    <t>19</t>
  </si>
  <si>
    <t>KEPULAUAN BANGKA BELITUNG</t>
  </si>
  <si>
    <t>21</t>
  </si>
  <si>
    <t>KEPULAUAN RIAU</t>
  </si>
  <si>
    <t>31</t>
  </si>
  <si>
    <t>DKI JAKARTA</t>
  </si>
  <si>
    <t>JAWA</t>
  </si>
  <si>
    <t>32</t>
  </si>
  <si>
    <t>JAWA BARAT</t>
  </si>
  <si>
    <t>33</t>
  </si>
  <si>
    <t>JAWA TENGAH</t>
  </si>
  <si>
    <t>34</t>
  </si>
  <si>
    <t>DI YOGYAKARTA</t>
  </si>
  <si>
    <t>35</t>
  </si>
  <si>
    <t>JAWA TIMUR</t>
  </si>
  <si>
    <t>36</t>
  </si>
  <si>
    <t>BANTEN</t>
  </si>
  <si>
    <t>51</t>
  </si>
  <si>
    <t>BALI</t>
  </si>
  <si>
    <t>52</t>
  </si>
  <si>
    <t>NUSA TENGGARA BARAT</t>
  </si>
  <si>
    <t>NUSA TENGGARA</t>
  </si>
  <si>
    <t>53</t>
  </si>
  <si>
    <t>NUSA TENGGARA TIMUR</t>
  </si>
  <si>
    <t>61</t>
  </si>
  <si>
    <t>KALIMANTAN BARAT</t>
  </si>
  <si>
    <t>KALIMANTAN</t>
  </si>
  <si>
    <t>62</t>
  </si>
  <si>
    <t>KALIMANTAN TENGAH</t>
  </si>
  <si>
    <t>63</t>
  </si>
  <si>
    <t>KALIMANTAN SELATAN</t>
  </si>
  <si>
    <t>64</t>
  </si>
  <si>
    <t>KALIMANTAN TIMUR</t>
  </si>
  <si>
    <t>65</t>
  </si>
  <si>
    <t>KALIMANTAN UTARA</t>
  </si>
  <si>
    <t>71</t>
  </si>
  <si>
    <t>SULAWESI UTARA</t>
  </si>
  <si>
    <t>SULAWESI</t>
  </si>
  <si>
    <t>72</t>
  </si>
  <si>
    <t>SULAWESI TENGAH</t>
  </si>
  <si>
    <t>73</t>
  </si>
  <si>
    <t>SULAWESI SELATAN</t>
  </si>
  <si>
    <t>74</t>
  </si>
  <si>
    <t>SULAWESI TENGGARA</t>
  </si>
  <si>
    <t>75</t>
  </si>
  <si>
    <t>GORONTALO</t>
  </si>
  <si>
    <t>76</t>
  </si>
  <si>
    <t>SULAWESI BARAT</t>
  </si>
  <si>
    <t>81</t>
  </si>
  <si>
    <t>MALUKU</t>
  </si>
  <si>
    <t>82</t>
  </si>
  <si>
    <t>MALUKU UTARA</t>
  </si>
  <si>
    <t>91</t>
  </si>
  <si>
    <t>PAPUA BARAT</t>
  </si>
  <si>
    <t>PAPUA</t>
  </si>
  <si>
    <t>92</t>
  </si>
  <si>
    <t>PAPUA BARAT DAYA</t>
  </si>
  <si>
    <t>94</t>
  </si>
  <si>
    <t>95</t>
  </si>
  <si>
    <t>PAPUA SELATAN</t>
  </si>
  <si>
    <t>96</t>
  </si>
  <si>
    <t>PAPUA TENGAH</t>
  </si>
  <si>
    <t>97</t>
  </si>
  <si>
    <t>PAPUA PEGUNUNGAN</t>
  </si>
  <si>
    <t>Indonesia</t>
  </si>
  <si>
    <t>INDONESIA</t>
  </si>
  <si>
    <t>Isi</t>
  </si>
  <si>
    <t>38 provinsi dan baris nasional (INDONESIA). Persentase ditulis dalam satuan persen (12,39 = 12,39%). Jumlah backlog dalam ribu rumah tangga. Sel kosong = data tidak disajikan sumber.</t>
  </si>
  <si>
    <t>Warna</t>
  </si>
  <si>
    <t>Teks biru = nilai dari sumber. Teks hitam = rumus (diare_pct).</t>
  </si>
  <si>
    <t>b1_*, b2_*</t>
  </si>
  <si>
    <t>BPS, Statistik Perumahan 2026, Tabel 2.1 (Backlog 1) dan Tabel 2.3 (Backlog 2). Susenas Maret 2025 dan Maret 2026.</t>
  </si>
  <si>
    <t>rumah_layak_huni_*, bangunan_*, lantai_*, air_*, sanitasi_*</t>
  </si>
  <si>
    <t>BPS, Statistik Perumahan 2026, Tabel 2.5 (2025) dan Tabel 2.6 (2026): akses rumah layak huni dan empat komponennya.</t>
  </si>
  <si>
    <t>asbes_pct_*</t>
  </si>
  <si>
    <t>BPS, Statistik Perumahan 2026, Tabel 2.7. Kosong = tidak disajikan BPS (NA).</t>
  </si>
  <si>
    <t>babs_pct_*</t>
  </si>
  <si>
    <t>BPS, Statistik Perumahan 2026, Tabel 2.8. Kosong = tidak disajikan BPS (NA).</t>
  </si>
  <si>
    <t>pen_*</t>
  </si>
  <si>
    <t>BPS, Statistik Perumahan 2026, Tabel 2.9 (2025) dan Tabel 2.10 (2026): listrik PLN, listrik non-PLN, bukan listrik. Kosong = NA di BPS; "–" (nol) ditulis 0.</t>
  </si>
  <si>
    <t>BPS, Statistik Kesehatan 2025, Tabel 2.1: persentase penduduk yang mempunyai keluhan kesehatan dalam sebulan terakhir.</t>
  </si>
  <si>
    <t>Kemenkes RI, Profil Kesehatan Indonesia 2025, Lampiran 6.14: kasus diare yang dilayani, semua umur (Ditjen Penanggulangan Penyakit, 2026).</t>
  </si>
  <si>
    <t>Rumus: diare_n / penduduk_2025 x 100 (kasus diare dilayani per 100 penduduk).</t>
  </si>
  <si>
    <t>BPS, tabel dinamis: cakupan penemuan dan pengobatan kasus TBC (%), nilai tinggi = lebih baik. Sebelumnya bernama tbc_n; kolom tbc_pct (tbc_n dibagi penduduk) dihapus karena tidak bermakna.</t>
  </si>
  <si>
    <t>BPS, tabel dinamis: angka kesakitan DBD per 100.000 penduduk. Kosong untuk Papua Barat Daya dan Papua Pegunungan (tidak tersedia di sumber). Kolom dbd_n dan dbd_pct (turunan) dihapus.</t>
  </si>
  <si>
    <t>penduduk_2025, miskin_2025</t>
  </si>
  <si>
    <t>BPS, tabel dinamis: jumlah penduduk 2025 dan persentase penduduk miskin Maret 2025. Nilai dari berkas sebelumnya, tidak diubah.</t>
  </si>
  <si>
    <t>Perubahan dari berkas lama</t>
  </si>
  <si>
    <t>Jumlah Backlog 1 tertukar antartahun di 25 baris diperbaiki; kolom listrik non-PLN dan bukan listrik yang tertukar diperbaiki; komponen rumah layak 2026 dan penerangan 2026 ditambahkan; rumah_layak_huni diganti nama menjadi rumah_layak_huni_2025.</t>
  </si>
  <si>
    <t>tbc_n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</si>
</sst>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theme="0"/>
      <name val="Arial"/>
      <family val="2"/>
    </font>
    <font>
      <b/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3" fillId="0" borderId="0" xfId="0" applyNumberFormat="1" applyFont="1"/>
    <xf numFmtId="2" fontId="3" fillId="0" borderId="0" xfId="0" applyNumberFormat="1" applyFont="1"/>
    <xf numFmtId="4" fontId="3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1" fontId="0" fillId="0" borderId="0" xfId="0" applyNumberFormat="1"/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0"/>
  <sheetViews>
    <sheetView tabSelected="1" zoomScaleNormal="100" workbookViewId="0">
      <pane xSplit="2" ySplit="1" topLeftCell="AF2" activePane="bottomRight" state="frozen"/>
      <selection pane="topRight" activeCell="C1" sqref="C1"/>
      <selection pane="bottomLeft" activeCell="A2" sqref="A2"/>
      <selection pane="bottomRight" activeCell="AJ4" sqref="AJ4"/>
    </sheetView>
  </sheetViews>
  <sheetFormatPr defaultColWidth="8.6328125" defaultRowHeight="14.5" x14ac:dyDescent="0.35"/>
  <cols>
    <col min="1" max="1" width="12" customWidth="1"/>
    <col min="2" max="2" width="26" customWidth="1"/>
    <col min="3" max="3" width="12" customWidth="1"/>
    <col min="4" max="4" width="15" customWidth="1"/>
    <col min="5" max="6" width="13" customWidth="1"/>
    <col min="7" max="8" width="12" customWidth="1"/>
    <col min="9" max="10" width="13" customWidth="1"/>
    <col min="11" max="12" width="12" customWidth="1"/>
    <col min="13" max="14" width="23" customWidth="1"/>
    <col min="15" max="16" width="15" customWidth="1"/>
    <col min="17" max="18" width="13" customWidth="1"/>
    <col min="19" max="20" width="12" customWidth="1"/>
    <col min="21" max="22" width="15" customWidth="1"/>
    <col min="23" max="24" width="16" customWidth="1"/>
    <col min="25" max="26" width="15" customWidth="1"/>
    <col min="27" max="27" width="14" customWidth="1"/>
    <col min="28" max="28" width="17" customWidth="1"/>
    <col min="29" max="29" width="23" customWidth="1"/>
    <col min="30" max="30" width="14" customWidth="1"/>
    <col min="31" max="31" width="17" customWidth="1"/>
    <col min="32" max="32" width="23" customWidth="1"/>
    <col min="33" max="33" width="26" customWidth="1"/>
    <col min="34" max="35" width="12" customWidth="1"/>
    <col min="36" max="36" width="17" customWidth="1"/>
    <col min="37" max="37" width="16" customWidth="1"/>
  </cols>
  <sheetData>
    <row r="1" spans="1:3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1" t="s">
        <v>34</v>
      </c>
      <c r="AJ1" s="12" t="s">
        <v>144</v>
      </c>
      <c r="AK1" s="11" t="s">
        <v>35</v>
      </c>
      <c r="AL1" s="1" t="s">
        <v>36</v>
      </c>
      <c r="AM1" s="1" t="s">
        <v>37</v>
      </c>
    </row>
    <row r="2" spans="1:39" x14ac:dyDescent="0.35">
      <c r="A2" s="2" t="s">
        <v>38</v>
      </c>
      <c r="B2" s="2" t="s">
        <v>39</v>
      </c>
      <c r="C2" s="2" t="s">
        <v>40</v>
      </c>
      <c r="D2" s="3">
        <v>5626000</v>
      </c>
      <c r="E2" s="4">
        <v>13</v>
      </c>
      <c r="F2" s="4">
        <v>12.54</v>
      </c>
      <c r="G2" s="5">
        <v>182.98</v>
      </c>
      <c r="H2" s="5">
        <v>180.15</v>
      </c>
      <c r="I2" s="4">
        <v>24.95</v>
      </c>
      <c r="J2" s="4">
        <v>22.84</v>
      </c>
      <c r="K2" s="5">
        <v>351.34</v>
      </c>
      <c r="L2" s="5">
        <v>328.2</v>
      </c>
      <c r="M2" s="4">
        <v>71.150000000000006</v>
      </c>
      <c r="N2" s="4">
        <v>73.41</v>
      </c>
      <c r="O2" s="4">
        <v>97.88</v>
      </c>
      <c r="P2" s="4">
        <v>97.67</v>
      </c>
      <c r="Q2" s="4">
        <v>93.73</v>
      </c>
      <c r="R2" s="4">
        <v>93.83</v>
      </c>
      <c r="S2" s="4">
        <v>92.06</v>
      </c>
      <c r="T2" s="4">
        <v>92.99</v>
      </c>
      <c r="U2" s="4">
        <v>82.21</v>
      </c>
      <c r="V2" s="4">
        <v>84.19</v>
      </c>
      <c r="W2" s="4">
        <v>0.81</v>
      </c>
      <c r="X2" s="4">
        <v>0.89</v>
      </c>
      <c r="Y2" s="4">
        <v>6.57</v>
      </c>
      <c r="Z2" s="4">
        <v>5.23</v>
      </c>
      <c r="AA2" s="4">
        <v>99.49</v>
      </c>
      <c r="AB2" s="4">
        <v>0.48</v>
      </c>
      <c r="AC2" s="6"/>
      <c r="AD2" s="4">
        <v>99.95</v>
      </c>
      <c r="AE2" s="6"/>
      <c r="AF2" s="6"/>
      <c r="AG2" s="4">
        <v>24.6</v>
      </c>
      <c r="AH2" s="3">
        <v>45312</v>
      </c>
      <c r="AI2" s="7">
        <f t="shared" ref="AI2:AI40" si="0">IF(AND(ISNUMBER(AH2),D2&gt;0),AH2/D2*100,"")</f>
        <v>0.80540348382509774</v>
      </c>
      <c r="AJ2">
        <v>68</v>
      </c>
      <c r="AK2">
        <v>1.2086740000000001E-3</v>
      </c>
      <c r="AL2" s="4">
        <v>37.08</v>
      </c>
      <c r="AM2" s="4">
        <v>12.33</v>
      </c>
    </row>
    <row r="3" spans="1:39" x14ac:dyDescent="0.35">
      <c r="A3" s="2" t="s">
        <v>41</v>
      </c>
      <c r="B3" s="2" t="s">
        <v>42</v>
      </c>
      <c r="C3" s="2" t="s">
        <v>40</v>
      </c>
      <c r="D3" s="3">
        <v>15785800</v>
      </c>
      <c r="E3" s="4">
        <v>24.46</v>
      </c>
      <c r="F3" s="4">
        <v>23.62</v>
      </c>
      <c r="G3" s="5">
        <v>938.46</v>
      </c>
      <c r="H3" s="5">
        <v>911.78</v>
      </c>
      <c r="I3" s="4">
        <v>16.02</v>
      </c>
      <c r="J3" s="4">
        <v>15.82</v>
      </c>
      <c r="K3" s="5">
        <v>614.66</v>
      </c>
      <c r="L3" s="5">
        <v>610.97</v>
      </c>
      <c r="M3" s="4">
        <v>76.89</v>
      </c>
      <c r="N3" s="4">
        <v>78.45</v>
      </c>
      <c r="O3" s="4">
        <v>96.37</v>
      </c>
      <c r="P3" s="4">
        <v>96.37</v>
      </c>
      <c r="Q3" s="4">
        <v>92.99</v>
      </c>
      <c r="R3" s="4">
        <v>93.42</v>
      </c>
      <c r="S3" s="4">
        <v>93.24</v>
      </c>
      <c r="T3" s="4">
        <v>93.75</v>
      </c>
      <c r="U3" s="4">
        <v>87.47</v>
      </c>
      <c r="V3" s="4">
        <v>88.8</v>
      </c>
      <c r="W3" s="4">
        <v>2.13</v>
      </c>
      <c r="X3" s="4">
        <v>1.91</v>
      </c>
      <c r="Y3" s="4">
        <v>3.58</v>
      </c>
      <c r="Z3" s="4">
        <v>3.04</v>
      </c>
      <c r="AA3" s="4">
        <v>99.28</v>
      </c>
      <c r="AB3" s="4">
        <v>0.44</v>
      </c>
      <c r="AC3" s="4">
        <v>0.28000000000000003</v>
      </c>
      <c r="AD3" s="4">
        <v>99.35</v>
      </c>
      <c r="AE3" s="4">
        <v>0.39</v>
      </c>
      <c r="AF3" s="4">
        <v>0.25</v>
      </c>
      <c r="AG3" s="4">
        <v>24.32</v>
      </c>
      <c r="AH3" s="3">
        <v>89714</v>
      </c>
      <c r="AI3" s="7">
        <f t="shared" si="0"/>
        <v>0.56832089599513491</v>
      </c>
      <c r="AJ3">
        <v>74</v>
      </c>
      <c r="AK3">
        <v>4.6877600000000001E-4</v>
      </c>
      <c r="AL3" s="4">
        <v>27.91</v>
      </c>
      <c r="AM3" s="4">
        <v>7.36</v>
      </c>
    </row>
    <row r="4" spans="1:39" x14ac:dyDescent="0.35">
      <c r="A4" s="2" t="s">
        <v>43</v>
      </c>
      <c r="B4" s="2" t="s">
        <v>44</v>
      </c>
      <c r="C4" s="2" t="s">
        <v>40</v>
      </c>
      <c r="D4" s="3">
        <v>5914300</v>
      </c>
      <c r="E4" s="4">
        <v>24.28</v>
      </c>
      <c r="F4" s="4">
        <v>23.82</v>
      </c>
      <c r="G4" s="5">
        <v>341.88</v>
      </c>
      <c r="H4" s="5">
        <v>338.74</v>
      </c>
      <c r="I4" s="4">
        <v>26.61</v>
      </c>
      <c r="J4" s="4">
        <v>24.25</v>
      </c>
      <c r="K4" s="5">
        <v>374.76</v>
      </c>
      <c r="L4" s="5">
        <v>344.86</v>
      </c>
      <c r="M4" s="4">
        <v>63.7</v>
      </c>
      <c r="N4" s="4">
        <v>66.69</v>
      </c>
      <c r="O4" s="4">
        <v>99.02</v>
      </c>
      <c r="P4" s="4">
        <v>98.94</v>
      </c>
      <c r="Q4" s="4">
        <v>94.63</v>
      </c>
      <c r="R4" s="4">
        <v>94.75</v>
      </c>
      <c r="S4" s="4">
        <v>87.26</v>
      </c>
      <c r="T4" s="4">
        <v>88.99</v>
      </c>
      <c r="U4" s="4">
        <v>74.59</v>
      </c>
      <c r="V4" s="4">
        <v>76.459999999999994</v>
      </c>
      <c r="W4" s="4">
        <v>0.49</v>
      </c>
      <c r="X4" s="4">
        <v>0.52</v>
      </c>
      <c r="Y4" s="4">
        <v>5.25</v>
      </c>
      <c r="Z4" s="4">
        <v>5.01</v>
      </c>
      <c r="AA4" s="4">
        <v>99.16</v>
      </c>
      <c r="AB4" s="4">
        <v>0.31</v>
      </c>
      <c r="AC4" s="4">
        <v>0.53</v>
      </c>
      <c r="AD4" s="4">
        <v>99.22</v>
      </c>
      <c r="AE4" s="4">
        <v>0.63</v>
      </c>
      <c r="AF4" s="4">
        <v>0.16</v>
      </c>
      <c r="AG4" s="4">
        <v>28.47</v>
      </c>
      <c r="AH4" s="3">
        <v>62735</v>
      </c>
      <c r="AI4" s="7">
        <f t="shared" si="0"/>
        <v>1.0607341528160559</v>
      </c>
      <c r="AJ4">
        <v>62</v>
      </c>
      <c r="AK4">
        <v>1.0483070000000001E-3</v>
      </c>
      <c r="AL4" s="4">
        <v>41.63</v>
      </c>
      <c r="AM4" s="4">
        <v>5.35</v>
      </c>
    </row>
    <row r="5" spans="1:39" x14ac:dyDescent="0.35">
      <c r="A5" s="2" t="s">
        <v>45</v>
      </c>
      <c r="B5" s="2" t="s">
        <v>46</v>
      </c>
      <c r="C5" s="2" t="s">
        <v>40</v>
      </c>
      <c r="D5" s="3">
        <v>6811200</v>
      </c>
      <c r="E5" s="4">
        <v>19.04</v>
      </c>
      <c r="F5" s="4">
        <v>17.88</v>
      </c>
      <c r="G5" s="5">
        <v>351.99</v>
      </c>
      <c r="H5" s="5">
        <v>338.24</v>
      </c>
      <c r="I5" s="4">
        <v>15.37</v>
      </c>
      <c r="J5" s="4">
        <v>14.99</v>
      </c>
      <c r="K5" s="5">
        <v>284.20999999999998</v>
      </c>
      <c r="L5" s="5">
        <v>283.52999999999997</v>
      </c>
      <c r="M5" s="4">
        <v>80.22</v>
      </c>
      <c r="N5" s="4">
        <v>81.599999999999994</v>
      </c>
      <c r="O5" s="4">
        <v>97.67</v>
      </c>
      <c r="P5" s="4">
        <v>97.68</v>
      </c>
      <c r="Q5" s="4">
        <v>95.63</v>
      </c>
      <c r="R5" s="4">
        <v>96.12</v>
      </c>
      <c r="S5" s="4">
        <v>92.17</v>
      </c>
      <c r="T5" s="4">
        <v>92.71</v>
      </c>
      <c r="U5" s="4">
        <v>91.21</v>
      </c>
      <c r="V5" s="4">
        <v>91.96</v>
      </c>
      <c r="W5" s="4">
        <v>1.66</v>
      </c>
      <c r="X5" s="4">
        <v>1.26</v>
      </c>
      <c r="Y5" s="4">
        <v>1</v>
      </c>
      <c r="Z5" s="4">
        <v>0.86</v>
      </c>
      <c r="AA5" s="4">
        <v>97.87</v>
      </c>
      <c r="AB5" s="4">
        <v>1.84</v>
      </c>
      <c r="AC5" s="4">
        <v>0.28999999999999998</v>
      </c>
      <c r="AD5" s="4">
        <v>97.36</v>
      </c>
      <c r="AE5" s="4">
        <v>2.48</v>
      </c>
      <c r="AF5" s="4">
        <v>0.16</v>
      </c>
      <c r="AG5" s="4">
        <v>21.74</v>
      </c>
      <c r="AH5" s="3">
        <v>43692</v>
      </c>
      <c r="AI5" s="7">
        <f t="shared" si="0"/>
        <v>0.64147286821705429</v>
      </c>
      <c r="AJ5">
        <v>72</v>
      </c>
      <c r="AK5">
        <v>1.057082E-3</v>
      </c>
      <c r="AL5" s="4">
        <v>54.07</v>
      </c>
      <c r="AM5" s="4">
        <v>6.16</v>
      </c>
    </row>
    <row r="6" spans="1:39" x14ac:dyDescent="0.35">
      <c r="A6" s="2" t="s">
        <v>47</v>
      </c>
      <c r="B6" s="2" t="s">
        <v>48</v>
      </c>
      <c r="C6" s="2" t="s">
        <v>40</v>
      </c>
      <c r="D6" s="3">
        <v>3768500</v>
      </c>
      <c r="E6" s="4">
        <v>8.94</v>
      </c>
      <c r="F6" s="4">
        <v>8.6</v>
      </c>
      <c r="G6" s="5">
        <v>86.85</v>
      </c>
      <c r="H6" s="5">
        <v>84.89</v>
      </c>
      <c r="I6" s="4">
        <v>28.16</v>
      </c>
      <c r="J6" s="4">
        <v>24.87</v>
      </c>
      <c r="K6" s="5">
        <v>273.44</v>
      </c>
      <c r="L6" s="5">
        <v>245.43</v>
      </c>
      <c r="M6" s="4">
        <v>68.42</v>
      </c>
      <c r="N6" s="4">
        <v>72.650000000000006</v>
      </c>
      <c r="O6" s="4">
        <v>97.43</v>
      </c>
      <c r="P6" s="4">
        <v>97.63</v>
      </c>
      <c r="Q6" s="4">
        <v>97.48</v>
      </c>
      <c r="R6" s="4">
        <v>98.2</v>
      </c>
      <c r="S6" s="4">
        <v>82.46</v>
      </c>
      <c r="T6" s="4">
        <v>84.13</v>
      </c>
      <c r="U6" s="4">
        <v>85.88</v>
      </c>
      <c r="V6" s="4">
        <v>87.27</v>
      </c>
      <c r="W6" s="4">
        <v>2.29</v>
      </c>
      <c r="X6" s="4">
        <v>1.79</v>
      </c>
      <c r="Y6" s="4">
        <v>3.75</v>
      </c>
      <c r="Z6" s="4">
        <v>3.25</v>
      </c>
      <c r="AA6" s="4">
        <v>98.4</v>
      </c>
      <c r="AB6" s="4">
        <v>1.28</v>
      </c>
      <c r="AC6" s="4">
        <v>0.32</v>
      </c>
      <c r="AD6" s="4">
        <v>98.63</v>
      </c>
      <c r="AE6" s="4">
        <v>1.1399999999999999</v>
      </c>
      <c r="AF6" s="4">
        <v>0.24</v>
      </c>
      <c r="AG6" s="4">
        <v>25.95</v>
      </c>
      <c r="AH6" s="3">
        <v>27184</v>
      </c>
      <c r="AI6" s="7">
        <f t="shared" si="0"/>
        <v>0.72134801645216928</v>
      </c>
      <c r="AJ6">
        <v>65</v>
      </c>
      <c r="AK6">
        <v>1.724824E-3</v>
      </c>
      <c r="AL6" s="4">
        <v>37.869999999999997</v>
      </c>
      <c r="AM6" s="4">
        <v>7.19</v>
      </c>
    </row>
    <row r="7" spans="1:39" x14ac:dyDescent="0.35">
      <c r="A7" s="2" t="s">
        <v>49</v>
      </c>
      <c r="B7" s="2" t="s">
        <v>50</v>
      </c>
      <c r="C7" s="2" t="s">
        <v>40</v>
      </c>
      <c r="D7" s="3">
        <v>8928500</v>
      </c>
      <c r="E7" s="4">
        <v>12.71</v>
      </c>
      <c r="F7" s="4">
        <v>12.2</v>
      </c>
      <c r="G7" s="5">
        <v>286.97000000000003</v>
      </c>
      <c r="H7" s="5">
        <v>281.69</v>
      </c>
      <c r="I7" s="4">
        <v>28.16</v>
      </c>
      <c r="J7" s="4">
        <v>26.51</v>
      </c>
      <c r="K7" s="5">
        <v>635.71</v>
      </c>
      <c r="L7" s="5">
        <v>612.22</v>
      </c>
      <c r="M7" s="4">
        <v>65.739999999999995</v>
      </c>
      <c r="N7" s="4">
        <v>68.23</v>
      </c>
      <c r="O7" s="4">
        <v>92.19</v>
      </c>
      <c r="P7" s="4">
        <v>92.88</v>
      </c>
      <c r="Q7" s="4">
        <v>90.88</v>
      </c>
      <c r="R7" s="4">
        <v>91.59</v>
      </c>
      <c r="S7" s="4">
        <v>86.82</v>
      </c>
      <c r="T7" s="4">
        <v>87.37</v>
      </c>
      <c r="U7" s="4">
        <v>85.5</v>
      </c>
      <c r="V7" s="4">
        <v>87.39</v>
      </c>
      <c r="W7" s="4">
        <v>6.53</v>
      </c>
      <c r="X7" s="4">
        <v>5.62</v>
      </c>
      <c r="Y7" s="4">
        <v>3</v>
      </c>
      <c r="Z7" s="4">
        <v>2.65</v>
      </c>
      <c r="AA7" s="4">
        <v>96.7</v>
      </c>
      <c r="AB7" s="4">
        <v>3.08</v>
      </c>
      <c r="AC7" s="4">
        <v>0.23</v>
      </c>
      <c r="AD7" s="4">
        <v>97.84</v>
      </c>
      <c r="AE7" s="4">
        <v>2.0499999999999998</v>
      </c>
      <c r="AF7" s="4">
        <v>0.11</v>
      </c>
      <c r="AG7" s="4">
        <v>26.17</v>
      </c>
      <c r="AH7" s="3">
        <v>82864</v>
      </c>
      <c r="AI7" s="7">
        <f t="shared" si="0"/>
        <v>0.92808422467379748</v>
      </c>
      <c r="AJ7">
        <v>63</v>
      </c>
      <c r="AK7">
        <v>7.0560600000000001E-4</v>
      </c>
      <c r="AL7" s="4">
        <v>45.57</v>
      </c>
      <c r="AM7" s="4">
        <v>10.15</v>
      </c>
    </row>
    <row r="8" spans="1:39" x14ac:dyDescent="0.35">
      <c r="A8" s="2" t="s">
        <v>51</v>
      </c>
      <c r="B8" s="2" t="s">
        <v>52</v>
      </c>
      <c r="C8" s="2" t="s">
        <v>40</v>
      </c>
      <c r="D8" s="3">
        <v>2138000</v>
      </c>
      <c r="E8" s="4">
        <v>8.24</v>
      </c>
      <c r="F8" s="4">
        <v>7.79</v>
      </c>
      <c r="G8" s="5">
        <v>44.63</v>
      </c>
      <c r="H8" s="5">
        <v>43.07</v>
      </c>
      <c r="I8" s="4">
        <v>37.369999999999997</v>
      </c>
      <c r="J8" s="4">
        <v>36.270000000000003</v>
      </c>
      <c r="K8" s="5">
        <v>202.4</v>
      </c>
      <c r="L8" s="5">
        <v>200.58</v>
      </c>
      <c r="M8" s="4">
        <v>57.97</v>
      </c>
      <c r="N8" s="4">
        <v>59.62</v>
      </c>
      <c r="O8" s="4">
        <v>97.41</v>
      </c>
      <c r="P8" s="4">
        <v>98.07</v>
      </c>
      <c r="Q8" s="4">
        <v>95.52</v>
      </c>
      <c r="R8" s="4">
        <v>96.47</v>
      </c>
      <c r="S8" s="4">
        <v>70.47</v>
      </c>
      <c r="T8" s="4">
        <v>70.53</v>
      </c>
      <c r="U8" s="4">
        <v>85.75</v>
      </c>
      <c r="V8" s="4">
        <v>86.86</v>
      </c>
      <c r="W8" s="4">
        <v>1.86</v>
      </c>
      <c r="X8" s="4">
        <v>1.39</v>
      </c>
      <c r="Y8" s="4">
        <v>2.74</v>
      </c>
      <c r="Z8" s="4">
        <v>2.36</v>
      </c>
      <c r="AA8" s="4">
        <v>99.67</v>
      </c>
      <c r="AB8" s="4">
        <v>0.32</v>
      </c>
      <c r="AC8" s="6"/>
      <c r="AD8" s="4">
        <v>99.76</v>
      </c>
      <c r="AE8" s="4">
        <v>0.18</v>
      </c>
      <c r="AF8" s="6"/>
      <c r="AG8" s="4">
        <v>29.95</v>
      </c>
      <c r="AH8" s="3">
        <v>10009</v>
      </c>
      <c r="AI8" s="7">
        <f t="shared" si="0"/>
        <v>0.46814780168381664</v>
      </c>
      <c r="AJ8">
        <v>48</v>
      </c>
      <c r="AK8">
        <v>2.245089E-3</v>
      </c>
      <c r="AL8" s="4">
        <v>41.35</v>
      </c>
      <c r="AM8" s="4">
        <v>12.08</v>
      </c>
    </row>
    <row r="9" spans="1:39" x14ac:dyDescent="0.35">
      <c r="A9" s="2" t="s">
        <v>53</v>
      </c>
      <c r="B9" s="2" t="s">
        <v>54</v>
      </c>
      <c r="C9" s="2" t="s">
        <v>40</v>
      </c>
      <c r="D9" s="3">
        <v>9522900</v>
      </c>
      <c r="E9" s="4">
        <v>6.34</v>
      </c>
      <c r="F9" s="4">
        <v>5.9</v>
      </c>
      <c r="G9" s="5">
        <v>146.52000000000001</v>
      </c>
      <c r="H9" s="5">
        <v>138.77000000000001</v>
      </c>
      <c r="I9" s="4">
        <v>28</v>
      </c>
      <c r="J9" s="4">
        <v>26.86</v>
      </c>
      <c r="K9" s="5">
        <v>647.27</v>
      </c>
      <c r="L9" s="5">
        <v>631.33000000000004</v>
      </c>
      <c r="M9" s="4">
        <v>68.78</v>
      </c>
      <c r="N9" s="4">
        <v>70.180000000000007</v>
      </c>
      <c r="O9" s="4">
        <v>90.48</v>
      </c>
      <c r="P9" s="4">
        <v>90.87</v>
      </c>
      <c r="Q9" s="4">
        <v>98.46</v>
      </c>
      <c r="R9" s="4">
        <v>98.14</v>
      </c>
      <c r="S9" s="4">
        <v>85.13</v>
      </c>
      <c r="T9" s="4">
        <v>85.52</v>
      </c>
      <c r="U9" s="4">
        <v>87.29</v>
      </c>
      <c r="V9" s="4">
        <v>88.75</v>
      </c>
      <c r="W9" s="4">
        <v>8.76</v>
      </c>
      <c r="X9" s="4">
        <v>8.56</v>
      </c>
      <c r="Y9" s="4">
        <v>0.77</v>
      </c>
      <c r="Z9" s="4">
        <v>0.76</v>
      </c>
      <c r="AA9" s="4">
        <v>99.32</v>
      </c>
      <c r="AB9" s="4">
        <v>0.64</v>
      </c>
      <c r="AC9" s="6"/>
      <c r="AD9" s="4">
        <v>99.47</v>
      </c>
      <c r="AE9" s="4">
        <v>0.5</v>
      </c>
      <c r="AF9" s="4">
        <v>0.03</v>
      </c>
      <c r="AG9" s="4">
        <v>29.97</v>
      </c>
      <c r="AH9" s="3">
        <v>71367</v>
      </c>
      <c r="AI9" s="7">
        <f t="shared" si="0"/>
        <v>0.74942507009419401</v>
      </c>
      <c r="AJ9">
        <v>65</v>
      </c>
      <c r="AK9">
        <v>6.8256499999999999E-4</v>
      </c>
      <c r="AL9" s="4">
        <v>69.209999999999994</v>
      </c>
      <c r="AM9" s="4">
        <v>10</v>
      </c>
    </row>
    <row r="10" spans="1:39" x14ac:dyDescent="0.35">
      <c r="A10" s="2" t="s">
        <v>55</v>
      </c>
      <c r="B10" s="2" t="s">
        <v>56</v>
      </c>
      <c r="C10" s="2" t="s">
        <v>40</v>
      </c>
      <c r="D10" s="3">
        <v>1550800</v>
      </c>
      <c r="E10" s="4">
        <v>7.9</v>
      </c>
      <c r="F10" s="4">
        <v>7.63</v>
      </c>
      <c r="G10" s="5">
        <v>32.44</v>
      </c>
      <c r="H10" s="5">
        <v>31.56</v>
      </c>
      <c r="I10" s="4">
        <v>59.86</v>
      </c>
      <c r="J10" s="4">
        <v>59.27</v>
      </c>
      <c r="K10" s="5">
        <v>245.81</v>
      </c>
      <c r="L10" s="5">
        <v>245.1</v>
      </c>
      <c r="M10" s="4">
        <v>33.130000000000003</v>
      </c>
      <c r="N10" s="4">
        <v>34.24</v>
      </c>
      <c r="O10" s="4">
        <v>42.38</v>
      </c>
      <c r="P10" s="4">
        <v>42.99</v>
      </c>
      <c r="Q10" s="4">
        <v>97.87</v>
      </c>
      <c r="R10" s="4">
        <v>97.98</v>
      </c>
      <c r="S10" s="4">
        <v>83.54</v>
      </c>
      <c r="T10" s="4">
        <v>84.97</v>
      </c>
      <c r="U10" s="4">
        <v>96.45</v>
      </c>
      <c r="V10" s="4">
        <v>96.77</v>
      </c>
      <c r="W10" s="4">
        <v>57.47</v>
      </c>
      <c r="X10" s="4">
        <v>56.7</v>
      </c>
      <c r="Y10" s="4">
        <v>1.3</v>
      </c>
      <c r="Z10" s="4">
        <v>1.25</v>
      </c>
      <c r="AA10" s="4">
        <v>99.6</v>
      </c>
      <c r="AB10" s="4">
        <v>0.34</v>
      </c>
      <c r="AC10" s="6"/>
      <c r="AD10" s="4">
        <v>99.98</v>
      </c>
      <c r="AE10" s="6"/>
      <c r="AF10" s="6"/>
      <c r="AG10" s="4">
        <v>31.44</v>
      </c>
      <c r="AH10" s="3">
        <v>18045</v>
      </c>
      <c r="AI10" s="7">
        <f t="shared" si="0"/>
        <v>1.1635929842661852</v>
      </c>
      <c r="AJ10">
        <v>63</v>
      </c>
      <c r="AK10">
        <v>4.0624190000000003E-3</v>
      </c>
      <c r="AL10" s="4">
        <v>104.72</v>
      </c>
      <c r="AM10" s="4">
        <v>5</v>
      </c>
    </row>
    <row r="11" spans="1:39" x14ac:dyDescent="0.35">
      <c r="A11" s="2" t="s">
        <v>57</v>
      </c>
      <c r="B11" s="2" t="s">
        <v>58</v>
      </c>
      <c r="C11" s="2" t="s">
        <v>40</v>
      </c>
      <c r="D11" s="3">
        <v>2213500</v>
      </c>
      <c r="E11" s="4">
        <v>22.28</v>
      </c>
      <c r="F11" s="4">
        <v>21.29</v>
      </c>
      <c r="G11" s="5">
        <v>158</v>
      </c>
      <c r="H11" s="5">
        <v>157.57</v>
      </c>
      <c r="I11" s="4">
        <v>31</v>
      </c>
      <c r="J11" s="4">
        <v>29.63</v>
      </c>
      <c r="K11" s="5">
        <v>219.84</v>
      </c>
      <c r="L11" s="5">
        <v>219.23</v>
      </c>
      <c r="M11" s="4">
        <v>59.03</v>
      </c>
      <c r="N11" s="4">
        <v>61.27</v>
      </c>
      <c r="O11" s="4">
        <v>67.17</v>
      </c>
      <c r="P11" s="4">
        <v>68.739999999999995</v>
      </c>
      <c r="Q11" s="4">
        <v>96.63</v>
      </c>
      <c r="R11" s="4">
        <v>96.36</v>
      </c>
      <c r="S11" s="4">
        <v>94.6</v>
      </c>
      <c r="T11" s="4">
        <v>95.11</v>
      </c>
      <c r="U11" s="4">
        <v>90.96</v>
      </c>
      <c r="V11" s="4">
        <v>93.75</v>
      </c>
      <c r="W11" s="4">
        <v>29.9</v>
      </c>
      <c r="X11" s="4">
        <v>29.79</v>
      </c>
      <c r="Y11" s="4">
        <v>0.26</v>
      </c>
      <c r="Z11" s="4">
        <v>0.2</v>
      </c>
      <c r="AA11" s="4">
        <v>98.81</v>
      </c>
      <c r="AB11" s="4">
        <v>1.1399999999999999</v>
      </c>
      <c r="AC11" s="4">
        <v>0.04</v>
      </c>
      <c r="AD11" s="4">
        <v>99.58</v>
      </c>
      <c r="AE11" s="4">
        <v>0.39</v>
      </c>
      <c r="AF11" s="6"/>
      <c r="AG11" s="4">
        <v>17.87</v>
      </c>
      <c r="AH11" s="3">
        <v>22096</v>
      </c>
      <c r="AI11" s="7">
        <f t="shared" si="0"/>
        <v>0.99823808448159024</v>
      </c>
      <c r="AJ11">
        <v>50</v>
      </c>
      <c r="AK11">
        <v>2.258866E-3</v>
      </c>
      <c r="AL11" s="4">
        <v>91.31</v>
      </c>
      <c r="AM11" s="4">
        <v>4.4400000000000004</v>
      </c>
    </row>
    <row r="12" spans="1:39" x14ac:dyDescent="0.35">
      <c r="A12" s="2" t="s">
        <v>59</v>
      </c>
      <c r="B12" s="2" t="s">
        <v>60</v>
      </c>
      <c r="C12" s="2" t="s">
        <v>61</v>
      </c>
      <c r="D12" s="3">
        <v>10678000</v>
      </c>
      <c r="E12" s="4">
        <v>40.590000000000003</v>
      </c>
      <c r="F12" s="4">
        <v>39.36</v>
      </c>
      <c r="G12" s="5">
        <v>1192.25</v>
      </c>
      <c r="H12" s="5">
        <v>1160.26</v>
      </c>
      <c r="I12" s="4">
        <v>28.05</v>
      </c>
      <c r="J12" s="4">
        <v>27.88</v>
      </c>
      <c r="K12" s="5">
        <v>823.78</v>
      </c>
      <c r="L12" s="5">
        <v>821.84</v>
      </c>
      <c r="M12" s="4">
        <v>37.71</v>
      </c>
      <c r="N12" s="4">
        <v>38.79</v>
      </c>
      <c r="O12" s="4">
        <v>45.21</v>
      </c>
      <c r="P12" s="4">
        <v>45.36</v>
      </c>
      <c r="Q12" s="4">
        <v>77.33</v>
      </c>
      <c r="R12" s="4">
        <v>78.59</v>
      </c>
      <c r="S12" s="4">
        <v>99.98</v>
      </c>
      <c r="T12" s="4">
        <v>99.98</v>
      </c>
      <c r="U12" s="4">
        <v>93.98</v>
      </c>
      <c r="V12" s="4">
        <v>95.04</v>
      </c>
      <c r="W12" s="4">
        <v>54.77</v>
      </c>
      <c r="X12" s="4">
        <v>54.59</v>
      </c>
      <c r="Y12" s="6"/>
      <c r="Z12" s="6"/>
      <c r="AA12" s="4">
        <v>99.84</v>
      </c>
      <c r="AB12" s="6"/>
      <c r="AC12" s="4">
        <v>0</v>
      </c>
      <c r="AD12" s="4">
        <v>99.86</v>
      </c>
      <c r="AE12" s="6"/>
      <c r="AF12" s="6"/>
      <c r="AG12" s="4">
        <v>25.32</v>
      </c>
      <c r="AH12" s="3">
        <v>176223</v>
      </c>
      <c r="AI12" s="7">
        <f t="shared" si="0"/>
        <v>1.6503371417868513</v>
      </c>
      <c r="AJ12">
        <v>86</v>
      </c>
      <c r="AK12">
        <v>8.0539399999999997E-4</v>
      </c>
      <c r="AL12" s="4">
        <v>95.17</v>
      </c>
      <c r="AM12" s="4">
        <v>4.28</v>
      </c>
    </row>
    <row r="13" spans="1:39" x14ac:dyDescent="0.35">
      <c r="A13" s="2" t="s">
        <v>62</v>
      </c>
      <c r="B13" s="2" t="s">
        <v>63</v>
      </c>
      <c r="C13" s="2" t="s">
        <v>61</v>
      </c>
      <c r="D13" s="3">
        <v>50759000</v>
      </c>
      <c r="E13" s="4">
        <v>14.8</v>
      </c>
      <c r="F13" s="4">
        <v>14.21</v>
      </c>
      <c r="G13" s="5">
        <v>2101.02</v>
      </c>
      <c r="H13" s="5">
        <v>2025.12</v>
      </c>
      <c r="I13" s="4">
        <v>33</v>
      </c>
      <c r="J13" s="4">
        <v>31.77</v>
      </c>
      <c r="K13" s="5">
        <v>4684.9799999999996</v>
      </c>
      <c r="L13" s="5">
        <v>4527.67</v>
      </c>
      <c r="M13" s="4">
        <v>58.46</v>
      </c>
      <c r="N13" s="4">
        <v>60.28</v>
      </c>
      <c r="O13" s="4">
        <v>80.63</v>
      </c>
      <c r="P13" s="4">
        <v>80.88</v>
      </c>
      <c r="Q13" s="4">
        <v>95.11</v>
      </c>
      <c r="R13" s="4">
        <v>94.75</v>
      </c>
      <c r="S13" s="4">
        <v>95.84</v>
      </c>
      <c r="T13" s="4">
        <v>96</v>
      </c>
      <c r="U13" s="4">
        <v>76.2</v>
      </c>
      <c r="V13" s="4">
        <v>77.739999999999995</v>
      </c>
      <c r="W13" s="4">
        <v>15.59</v>
      </c>
      <c r="X13" s="4">
        <v>15.02</v>
      </c>
      <c r="Y13" s="4">
        <v>0.8</v>
      </c>
      <c r="Z13" s="4">
        <v>0.75</v>
      </c>
      <c r="AA13" s="4">
        <v>99.96</v>
      </c>
      <c r="AB13" s="6"/>
      <c r="AC13" s="6"/>
      <c r="AD13" s="4">
        <v>99.92</v>
      </c>
      <c r="AE13" s="4">
        <v>7.0000000000000007E-2</v>
      </c>
      <c r="AF13" s="6"/>
      <c r="AG13" s="4">
        <v>30.5</v>
      </c>
      <c r="AH13" s="3">
        <v>626513</v>
      </c>
      <c r="AI13" s="7">
        <f t="shared" si="0"/>
        <v>1.2342894856084636</v>
      </c>
      <c r="AJ13">
        <v>97</v>
      </c>
      <c r="AK13">
        <v>1.9109899999999999E-4</v>
      </c>
      <c r="AL13" s="4">
        <v>88.17</v>
      </c>
      <c r="AM13" s="4">
        <v>7.02</v>
      </c>
    </row>
    <row r="14" spans="1:39" x14ac:dyDescent="0.35">
      <c r="A14" s="2" t="s">
        <v>64</v>
      </c>
      <c r="B14" s="2" t="s">
        <v>65</v>
      </c>
      <c r="C14" s="2" t="s">
        <v>61</v>
      </c>
      <c r="D14" s="3">
        <v>38233900</v>
      </c>
      <c r="E14" s="4">
        <v>8.0399999999999991</v>
      </c>
      <c r="F14" s="4">
        <v>7.63</v>
      </c>
      <c r="G14" s="5">
        <v>774.25</v>
      </c>
      <c r="H14" s="5">
        <v>738.53</v>
      </c>
      <c r="I14" s="4">
        <v>22.63</v>
      </c>
      <c r="J14" s="4">
        <v>20.85</v>
      </c>
      <c r="K14" s="5">
        <v>2180.2800000000002</v>
      </c>
      <c r="L14" s="5">
        <v>2018.36</v>
      </c>
      <c r="M14" s="4">
        <v>74.739999999999995</v>
      </c>
      <c r="N14" s="4">
        <v>76.89</v>
      </c>
      <c r="O14" s="4">
        <v>89.14</v>
      </c>
      <c r="P14" s="4">
        <v>89.93</v>
      </c>
      <c r="Q14" s="4">
        <v>98.4</v>
      </c>
      <c r="R14" s="4">
        <v>98.46</v>
      </c>
      <c r="S14" s="4">
        <v>95.73</v>
      </c>
      <c r="T14" s="4">
        <v>95.98</v>
      </c>
      <c r="U14" s="4">
        <v>87.51</v>
      </c>
      <c r="V14" s="4">
        <v>89.34</v>
      </c>
      <c r="W14" s="4">
        <v>6.12</v>
      </c>
      <c r="X14" s="4">
        <v>5.7</v>
      </c>
      <c r="Y14" s="4">
        <v>1.31</v>
      </c>
      <c r="Z14" s="4">
        <v>1.26</v>
      </c>
      <c r="AA14" s="4">
        <v>100</v>
      </c>
      <c r="AB14" s="4">
        <v>0</v>
      </c>
      <c r="AC14" s="6"/>
      <c r="AD14" s="4">
        <v>99.97</v>
      </c>
      <c r="AE14" s="4">
        <v>0.03</v>
      </c>
      <c r="AF14" s="6"/>
      <c r="AG14" s="4">
        <v>33.340000000000003</v>
      </c>
      <c r="AH14" s="3">
        <v>496665</v>
      </c>
      <c r="AI14" s="7">
        <f t="shared" si="0"/>
        <v>1.2990173641715861</v>
      </c>
      <c r="AJ14">
        <v>84</v>
      </c>
      <c r="AK14">
        <v>2.197E-4</v>
      </c>
      <c r="AL14" s="4">
        <v>27.81</v>
      </c>
      <c r="AM14" s="4">
        <v>9.48</v>
      </c>
    </row>
    <row r="15" spans="1:39" x14ac:dyDescent="0.35">
      <c r="A15" s="2" t="s">
        <v>66</v>
      </c>
      <c r="B15" s="2" t="s">
        <v>67</v>
      </c>
      <c r="C15" s="2" t="s">
        <v>61</v>
      </c>
      <c r="D15" s="3">
        <v>3781500</v>
      </c>
      <c r="E15" s="4">
        <v>13.92</v>
      </c>
      <c r="F15" s="4">
        <v>13.14</v>
      </c>
      <c r="G15" s="5">
        <v>174.81</v>
      </c>
      <c r="H15" s="5">
        <v>167.05</v>
      </c>
      <c r="I15" s="4">
        <v>8.24</v>
      </c>
      <c r="J15" s="4">
        <v>7.92</v>
      </c>
      <c r="K15" s="5">
        <v>103.46</v>
      </c>
      <c r="L15" s="5">
        <v>100.62</v>
      </c>
      <c r="M15" s="4">
        <v>88.31</v>
      </c>
      <c r="N15" s="4">
        <v>89.13</v>
      </c>
      <c r="O15" s="4">
        <v>96.59</v>
      </c>
      <c r="P15" s="4">
        <v>96.52</v>
      </c>
      <c r="Q15" s="4">
        <v>96.38</v>
      </c>
      <c r="R15" s="4">
        <v>96.21</v>
      </c>
      <c r="S15" s="4">
        <v>97.33</v>
      </c>
      <c r="T15" s="4">
        <v>97.71</v>
      </c>
      <c r="U15" s="4">
        <v>96.94</v>
      </c>
      <c r="V15" s="4">
        <v>97.57</v>
      </c>
      <c r="W15" s="4">
        <v>2.92</v>
      </c>
      <c r="X15" s="4">
        <v>2.93</v>
      </c>
      <c r="Y15" s="4">
        <v>0.39</v>
      </c>
      <c r="Z15" s="4">
        <v>0.28999999999999998</v>
      </c>
      <c r="AA15" s="4">
        <v>100</v>
      </c>
      <c r="AB15" s="4">
        <v>0</v>
      </c>
      <c r="AC15" s="4">
        <v>0</v>
      </c>
      <c r="AD15" s="4">
        <v>99.96</v>
      </c>
      <c r="AE15" s="6"/>
      <c r="AF15" s="4">
        <v>0</v>
      </c>
      <c r="AG15" s="4">
        <v>32.74</v>
      </c>
      <c r="AH15" s="3">
        <v>57667</v>
      </c>
      <c r="AI15" s="7">
        <f t="shared" si="0"/>
        <v>1.5249768610339811</v>
      </c>
      <c r="AJ15">
        <v>75</v>
      </c>
      <c r="AK15">
        <v>1.9833400000000001E-3</v>
      </c>
      <c r="AL15" s="4">
        <v>53.31</v>
      </c>
      <c r="AM15" s="4">
        <v>10.23</v>
      </c>
    </row>
    <row r="16" spans="1:39" x14ac:dyDescent="0.35">
      <c r="A16" s="2" t="s">
        <v>68</v>
      </c>
      <c r="B16" s="2" t="s">
        <v>69</v>
      </c>
      <c r="C16" s="2" t="s">
        <v>61</v>
      </c>
      <c r="D16" s="3">
        <v>42089300</v>
      </c>
      <c r="E16" s="4">
        <v>7.48</v>
      </c>
      <c r="F16" s="4">
        <v>7.23</v>
      </c>
      <c r="G16" s="5">
        <v>849.21</v>
      </c>
      <c r="H16" s="5">
        <v>829.08</v>
      </c>
      <c r="I16" s="4">
        <v>20.170000000000002</v>
      </c>
      <c r="J16" s="4">
        <v>18.53</v>
      </c>
      <c r="K16" s="5">
        <v>2291.41</v>
      </c>
      <c r="L16" s="5">
        <v>2126.42</v>
      </c>
      <c r="M16" s="4">
        <v>76.680000000000007</v>
      </c>
      <c r="N16" s="4">
        <v>78.58</v>
      </c>
      <c r="O16" s="4">
        <v>90.08</v>
      </c>
      <c r="P16" s="4">
        <v>90.59</v>
      </c>
      <c r="Q16" s="4">
        <v>97.31</v>
      </c>
      <c r="R16" s="4">
        <v>97.53</v>
      </c>
      <c r="S16" s="4">
        <v>97.3</v>
      </c>
      <c r="T16" s="4">
        <v>97.77</v>
      </c>
      <c r="U16" s="4">
        <v>88.26</v>
      </c>
      <c r="V16" s="4">
        <v>89.42</v>
      </c>
      <c r="W16" s="4">
        <v>6.43</v>
      </c>
      <c r="X16" s="4">
        <v>6.18</v>
      </c>
      <c r="Y16" s="4">
        <v>3.6</v>
      </c>
      <c r="Z16" s="4">
        <v>3.34</v>
      </c>
      <c r="AA16" s="4">
        <v>99.82</v>
      </c>
      <c r="AB16" s="4">
        <v>0.17</v>
      </c>
      <c r="AC16" s="6"/>
      <c r="AD16" s="4">
        <v>99.79</v>
      </c>
      <c r="AE16" s="4">
        <v>0.21</v>
      </c>
      <c r="AF16" s="6"/>
      <c r="AG16" s="4">
        <v>30.65</v>
      </c>
      <c r="AH16" s="3">
        <v>533305</v>
      </c>
      <c r="AI16" s="7">
        <f t="shared" si="0"/>
        <v>1.2670797566127256</v>
      </c>
      <c r="AJ16">
        <v>77</v>
      </c>
      <c r="AK16">
        <v>1.8294399999999999E-4</v>
      </c>
      <c r="AL16" s="4">
        <v>49.29</v>
      </c>
      <c r="AM16" s="4">
        <v>9.5</v>
      </c>
    </row>
    <row r="17" spans="1:39" x14ac:dyDescent="0.35">
      <c r="A17" s="2" t="s">
        <v>70</v>
      </c>
      <c r="B17" s="2" t="s">
        <v>71</v>
      </c>
      <c r="C17" s="2" t="s">
        <v>61</v>
      </c>
      <c r="D17" s="3">
        <v>12537400</v>
      </c>
      <c r="E17" s="4">
        <v>11.44</v>
      </c>
      <c r="F17" s="4">
        <v>10.65</v>
      </c>
      <c r="G17" s="5">
        <v>399.53</v>
      </c>
      <c r="H17" s="5">
        <v>380.68</v>
      </c>
      <c r="I17" s="4">
        <v>23.94</v>
      </c>
      <c r="J17" s="4">
        <v>22.4</v>
      </c>
      <c r="K17" s="5">
        <v>836.38</v>
      </c>
      <c r="L17" s="5">
        <v>800.75</v>
      </c>
      <c r="M17" s="4">
        <v>69.14</v>
      </c>
      <c r="N17" s="4">
        <v>72.19</v>
      </c>
      <c r="O17" s="4">
        <v>79.23</v>
      </c>
      <c r="P17" s="4">
        <v>80.41</v>
      </c>
      <c r="Q17" s="4">
        <v>95.28</v>
      </c>
      <c r="R17" s="4">
        <v>96.78</v>
      </c>
      <c r="S17" s="4">
        <v>96.03</v>
      </c>
      <c r="T17" s="4">
        <v>96.79</v>
      </c>
      <c r="U17" s="4">
        <v>90.71</v>
      </c>
      <c r="V17" s="4">
        <v>91.07</v>
      </c>
      <c r="W17" s="4">
        <v>17.809999999999999</v>
      </c>
      <c r="X17" s="4">
        <v>16.52</v>
      </c>
      <c r="Y17" s="4">
        <v>1.46</v>
      </c>
      <c r="Z17" s="4">
        <v>1.42</v>
      </c>
      <c r="AA17" s="4">
        <v>99.8</v>
      </c>
      <c r="AB17" s="4">
        <v>0.06</v>
      </c>
      <c r="AC17" s="4">
        <v>0.14000000000000001</v>
      </c>
      <c r="AD17" s="4">
        <v>99.83</v>
      </c>
      <c r="AE17" s="4">
        <v>7.0000000000000007E-2</v>
      </c>
      <c r="AF17" s="6"/>
      <c r="AG17" s="4">
        <v>26.79</v>
      </c>
      <c r="AH17" s="3">
        <v>171736</v>
      </c>
      <c r="AI17" s="7">
        <f t="shared" si="0"/>
        <v>1.3697895895480723</v>
      </c>
      <c r="AJ17">
        <v>112</v>
      </c>
      <c r="AK17">
        <v>8.9332699999999997E-4</v>
      </c>
      <c r="AL17" s="4">
        <v>56.14</v>
      </c>
      <c r="AM17" s="4">
        <v>5.63</v>
      </c>
    </row>
    <row r="18" spans="1:39" x14ac:dyDescent="0.35">
      <c r="A18" s="2" t="s">
        <v>72</v>
      </c>
      <c r="B18" s="2" t="s">
        <v>73</v>
      </c>
      <c r="C18" s="2" t="s">
        <v>73</v>
      </c>
      <c r="D18" s="3">
        <v>4461300</v>
      </c>
      <c r="E18" s="4">
        <v>11.67</v>
      </c>
      <c r="F18" s="4">
        <v>10.52</v>
      </c>
      <c r="G18" s="5">
        <v>144.62</v>
      </c>
      <c r="H18" s="5">
        <v>131.88999999999999</v>
      </c>
      <c r="I18" s="4">
        <v>8.93</v>
      </c>
      <c r="J18" s="4">
        <v>8.34</v>
      </c>
      <c r="K18" s="5">
        <v>110.69</v>
      </c>
      <c r="L18" s="5">
        <v>104.66</v>
      </c>
      <c r="M18" s="4">
        <v>85.73</v>
      </c>
      <c r="N18" s="4">
        <v>86.71</v>
      </c>
      <c r="O18" s="4">
        <v>93.88</v>
      </c>
      <c r="P18" s="4">
        <v>94.32</v>
      </c>
      <c r="Q18" s="4">
        <v>92.82</v>
      </c>
      <c r="R18" s="4">
        <v>92.95</v>
      </c>
      <c r="S18" s="4">
        <v>98.75</v>
      </c>
      <c r="T18" s="4">
        <v>99</v>
      </c>
      <c r="U18" s="4">
        <v>98.2</v>
      </c>
      <c r="V18" s="4">
        <v>98.6</v>
      </c>
      <c r="W18" s="4">
        <v>6.05</v>
      </c>
      <c r="X18" s="4">
        <v>5.3</v>
      </c>
      <c r="Y18" s="4">
        <v>1.1599999999999999</v>
      </c>
      <c r="Z18" s="4">
        <v>0.94</v>
      </c>
      <c r="AA18" s="4">
        <v>99.98</v>
      </c>
      <c r="AB18" s="4">
        <v>0</v>
      </c>
      <c r="AC18" s="6"/>
      <c r="AD18" s="4">
        <v>99.99</v>
      </c>
      <c r="AE18" s="4">
        <v>0</v>
      </c>
      <c r="AF18" s="6"/>
      <c r="AG18" s="4">
        <v>20.27</v>
      </c>
      <c r="AH18" s="3">
        <v>51202</v>
      </c>
      <c r="AI18" s="7">
        <f t="shared" si="0"/>
        <v>1.1476923766615112</v>
      </c>
      <c r="AJ18">
        <v>83</v>
      </c>
      <c r="AK18">
        <v>1.8604439999999999E-3</v>
      </c>
      <c r="AL18" s="4">
        <v>232.87</v>
      </c>
      <c r="AM18" s="4">
        <v>3.72</v>
      </c>
    </row>
    <row r="19" spans="1:39" x14ac:dyDescent="0.35">
      <c r="A19" s="2" t="s">
        <v>74</v>
      </c>
      <c r="B19" s="2" t="s">
        <v>75</v>
      </c>
      <c r="C19" s="2" t="s">
        <v>76</v>
      </c>
      <c r="D19" s="3">
        <v>5731100</v>
      </c>
      <c r="E19" s="4">
        <v>6.71</v>
      </c>
      <c r="F19" s="4">
        <v>6.22</v>
      </c>
      <c r="G19" s="5">
        <v>104.87</v>
      </c>
      <c r="H19" s="5">
        <v>98.72</v>
      </c>
      <c r="I19" s="4">
        <v>25.43</v>
      </c>
      <c r="J19" s="4">
        <v>24.72</v>
      </c>
      <c r="K19" s="5">
        <v>397.2</v>
      </c>
      <c r="L19" s="5">
        <v>392.12</v>
      </c>
      <c r="M19" s="4">
        <v>71.489999999999995</v>
      </c>
      <c r="N19" s="4">
        <v>72.599999999999994</v>
      </c>
      <c r="O19" s="4">
        <v>88.27</v>
      </c>
      <c r="P19" s="4">
        <v>88.71</v>
      </c>
      <c r="Q19" s="4">
        <v>91.09</v>
      </c>
      <c r="R19" s="4">
        <v>91.51</v>
      </c>
      <c r="S19" s="4">
        <v>96.29</v>
      </c>
      <c r="T19" s="4">
        <v>96.76</v>
      </c>
      <c r="U19" s="4">
        <v>88.29</v>
      </c>
      <c r="V19" s="4">
        <v>90.24</v>
      </c>
      <c r="W19" s="4">
        <v>10.23</v>
      </c>
      <c r="X19" s="4">
        <v>9.51</v>
      </c>
      <c r="Y19" s="4">
        <v>4.1100000000000003</v>
      </c>
      <c r="Z19" s="4">
        <v>3.88</v>
      </c>
      <c r="AA19" s="4">
        <v>99.73</v>
      </c>
      <c r="AB19" s="4">
        <v>0.27</v>
      </c>
      <c r="AC19" s="6"/>
      <c r="AD19" s="4">
        <v>99.92</v>
      </c>
      <c r="AE19" s="6"/>
      <c r="AF19" s="6"/>
      <c r="AG19" s="4">
        <v>42</v>
      </c>
      <c r="AH19" s="3">
        <v>95194</v>
      </c>
      <c r="AI19" s="7">
        <f t="shared" si="0"/>
        <v>1.6610074854739927</v>
      </c>
      <c r="AJ19">
        <v>60</v>
      </c>
      <c r="AK19">
        <v>1.0469190000000001E-3</v>
      </c>
      <c r="AL19" s="4">
        <v>63.58</v>
      </c>
      <c r="AM19" s="4">
        <v>11.78</v>
      </c>
    </row>
    <row r="20" spans="1:39" x14ac:dyDescent="0.35">
      <c r="A20" s="2" t="s">
        <v>77</v>
      </c>
      <c r="B20" s="2" t="s">
        <v>78</v>
      </c>
      <c r="C20" s="2" t="s">
        <v>76</v>
      </c>
      <c r="D20" s="3">
        <v>5742600</v>
      </c>
      <c r="E20" s="4">
        <v>7.22</v>
      </c>
      <c r="F20" s="4">
        <v>6.65</v>
      </c>
      <c r="G20" s="5">
        <v>95.1</v>
      </c>
      <c r="H20" s="5">
        <v>89.22</v>
      </c>
      <c r="I20" s="4">
        <v>34.56</v>
      </c>
      <c r="J20" s="4">
        <v>33.79</v>
      </c>
      <c r="K20" s="5">
        <v>455.28</v>
      </c>
      <c r="L20" s="5">
        <v>453.63</v>
      </c>
      <c r="M20" s="4">
        <v>62.27</v>
      </c>
      <c r="N20" s="4">
        <v>63.59</v>
      </c>
      <c r="O20" s="4">
        <v>84.87</v>
      </c>
      <c r="P20" s="4">
        <v>83.53</v>
      </c>
      <c r="Q20" s="4">
        <v>93.45</v>
      </c>
      <c r="R20" s="4">
        <v>94.44</v>
      </c>
      <c r="S20" s="4">
        <v>89.86</v>
      </c>
      <c r="T20" s="4">
        <v>90.74</v>
      </c>
      <c r="U20" s="4">
        <v>80.8</v>
      </c>
      <c r="V20" s="4">
        <v>82.22</v>
      </c>
      <c r="W20" s="4">
        <v>0.31</v>
      </c>
      <c r="X20" s="4">
        <v>0.38</v>
      </c>
      <c r="Y20" s="4">
        <v>3.61</v>
      </c>
      <c r="Z20" s="4">
        <v>3.11</v>
      </c>
      <c r="AA20" s="4">
        <v>92.83</v>
      </c>
      <c r="AB20" s="4">
        <v>5.23</v>
      </c>
      <c r="AC20" s="4">
        <v>1.94</v>
      </c>
      <c r="AD20" s="4">
        <v>94.11</v>
      </c>
      <c r="AE20" s="4">
        <v>3.97</v>
      </c>
      <c r="AF20" s="4">
        <v>1.91</v>
      </c>
      <c r="AG20" s="4">
        <v>30</v>
      </c>
      <c r="AH20" s="3">
        <v>46218</v>
      </c>
      <c r="AI20" s="7">
        <f t="shared" si="0"/>
        <v>0.80482708180963336</v>
      </c>
      <c r="AJ20">
        <v>62</v>
      </c>
      <c r="AK20">
        <v>1.0796499999999999E-3</v>
      </c>
      <c r="AL20" s="4">
        <v>37.28</v>
      </c>
      <c r="AM20" s="4">
        <v>18.600000000000001</v>
      </c>
    </row>
    <row r="21" spans="1:39" x14ac:dyDescent="0.35">
      <c r="A21" s="2" t="s">
        <v>79</v>
      </c>
      <c r="B21" s="2" t="s">
        <v>80</v>
      </c>
      <c r="C21" s="2" t="s">
        <v>81</v>
      </c>
      <c r="D21" s="3">
        <v>5766000</v>
      </c>
      <c r="E21" s="4">
        <v>6.53</v>
      </c>
      <c r="F21" s="4">
        <v>6.09</v>
      </c>
      <c r="G21" s="5">
        <v>85.36</v>
      </c>
      <c r="H21" s="5">
        <v>80.98</v>
      </c>
      <c r="I21" s="4">
        <v>24.37</v>
      </c>
      <c r="J21" s="4">
        <v>22.85</v>
      </c>
      <c r="K21" s="5">
        <v>318.85000000000002</v>
      </c>
      <c r="L21" s="5">
        <v>303.92</v>
      </c>
      <c r="M21" s="4">
        <v>74.260000000000005</v>
      </c>
      <c r="N21" s="4">
        <v>75.430000000000007</v>
      </c>
      <c r="O21" s="4">
        <v>99.07</v>
      </c>
      <c r="P21" s="4">
        <v>99.05</v>
      </c>
      <c r="Q21" s="4">
        <v>98.07</v>
      </c>
      <c r="R21" s="4">
        <v>98.27</v>
      </c>
      <c r="S21" s="4">
        <v>84.32</v>
      </c>
      <c r="T21" s="4">
        <v>85.34</v>
      </c>
      <c r="U21" s="4">
        <v>88.37</v>
      </c>
      <c r="V21" s="4">
        <v>89.5</v>
      </c>
      <c r="W21" s="4">
        <v>0.59</v>
      </c>
      <c r="X21" s="4">
        <v>0.57999999999999996</v>
      </c>
      <c r="Y21" s="4">
        <v>2.5</v>
      </c>
      <c r="Z21" s="4">
        <v>2.21</v>
      </c>
      <c r="AA21" s="4">
        <v>94.06</v>
      </c>
      <c r="AB21" s="4">
        <v>5.1100000000000003</v>
      </c>
      <c r="AC21" s="4">
        <v>0.84</v>
      </c>
      <c r="AD21" s="4">
        <v>93.37</v>
      </c>
      <c r="AE21" s="4">
        <v>5.81</v>
      </c>
      <c r="AF21" s="4">
        <v>0.82</v>
      </c>
      <c r="AG21" s="4">
        <v>24.3</v>
      </c>
      <c r="AH21" s="3">
        <v>42273</v>
      </c>
      <c r="AI21" s="7">
        <f t="shared" si="0"/>
        <v>0.73314255983350685</v>
      </c>
      <c r="AJ21">
        <v>75</v>
      </c>
      <c r="AK21">
        <v>1.3007279999999999E-3</v>
      </c>
      <c r="AL21" s="4">
        <v>36.4</v>
      </c>
      <c r="AM21" s="4">
        <v>6.16</v>
      </c>
    </row>
    <row r="22" spans="1:39" x14ac:dyDescent="0.35">
      <c r="A22" s="2" t="s">
        <v>82</v>
      </c>
      <c r="B22" s="2" t="s">
        <v>83</v>
      </c>
      <c r="C22" s="2" t="s">
        <v>81</v>
      </c>
      <c r="D22" s="3">
        <v>2845000</v>
      </c>
      <c r="E22" s="4">
        <v>12.5</v>
      </c>
      <c r="F22" s="4">
        <v>11.41</v>
      </c>
      <c r="G22" s="5">
        <v>97.51</v>
      </c>
      <c r="H22" s="5">
        <v>90.02</v>
      </c>
      <c r="I22" s="4">
        <v>28.94</v>
      </c>
      <c r="J22" s="4">
        <v>27.57</v>
      </c>
      <c r="K22" s="5">
        <v>225.82</v>
      </c>
      <c r="L22" s="5">
        <v>217.54</v>
      </c>
      <c r="M22" s="4">
        <v>66.44</v>
      </c>
      <c r="N22" s="4">
        <v>67.69</v>
      </c>
      <c r="O22" s="4">
        <v>95.7</v>
      </c>
      <c r="P22" s="4">
        <v>95.67</v>
      </c>
      <c r="Q22" s="4">
        <v>97.27</v>
      </c>
      <c r="R22" s="4">
        <v>97.37</v>
      </c>
      <c r="S22" s="4">
        <v>80.58</v>
      </c>
      <c r="T22" s="4">
        <v>81.14</v>
      </c>
      <c r="U22" s="4">
        <v>83.14</v>
      </c>
      <c r="V22" s="4">
        <v>85.08</v>
      </c>
      <c r="W22" s="4">
        <v>4.1399999999999997</v>
      </c>
      <c r="X22" s="4">
        <v>3.69</v>
      </c>
      <c r="Y22" s="4">
        <v>0.71</v>
      </c>
      <c r="Z22" s="4">
        <v>0.61</v>
      </c>
      <c r="AA22" s="4">
        <v>90.69</v>
      </c>
      <c r="AB22" s="4">
        <v>8.9499999999999993</v>
      </c>
      <c r="AC22" s="4">
        <v>0.35</v>
      </c>
      <c r="AD22" s="4">
        <v>94.02</v>
      </c>
      <c r="AE22" s="4">
        <v>5.54</v>
      </c>
      <c r="AF22" s="4">
        <v>0.44</v>
      </c>
      <c r="AG22" s="4">
        <v>25.05</v>
      </c>
      <c r="AH22" s="3">
        <v>23811</v>
      </c>
      <c r="AI22" s="7">
        <f t="shared" si="0"/>
        <v>0.83694200351493842</v>
      </c>
      <c r="AJ22">
        <v>77</v>
      </c>
      <c r="AK22">
        <v>2.7065029999999999E-3</v>
      </c>
      <c r="AL22" s="4">
        <v>40.840000000000003</v>
      </c>
      <c r="AM22" s="4">
        <v>5.19</v>
      </c>
    </row>
    <row r="23" spans="1:39" x14ac:dyDescent="0.35">
      <c r="A23" s="2" t="s">
        <v>84</v>
      </c>
      <c r="B23" s="2" t="s">
        <v>85</v>
      </c>
      <c r="C23" s="2" t="s">
        <v>81</v>
      </c>
      <c r="D23" s="3">
        <v>4323300</v>
      </c>
      <c r="E23" s="4">
        <v>12.98</v>
      </c>
      <c r="F23" s="4">
        <v>11.37</v>
      </c>
      <c r="G23" s="5">
        <v>160.65</v>
      </c>
      <c r="H23" s="5">
        <v>142.53</v>
      </c>
      <c r="I23" s="4">
        <v>30.41</v>
      </c>
      <c r="J23" s="4">
        <v>29.53</v>
      </c>
      <c r="K23" s="5">
        <v>376.33</v>
      </c>
      <c r="L23" s="5">
        <v>370.34</v>
      </c>
      <c r="M23" s="4">
        <v>63.4</v>
      </c>
      <c r="N23" s="4">
        <v>64.87</v>
      </c>
      <c r="O23" s="4">
        <v>92.59</v>
      </c>
      <c r="P23" s="4">
        <v>92.67</v>
      </c>
      <c r="Q23" s="4">
        <v>95.54</v>
      </c>
      <c r="R23" s="4">
        <v>95.7</v>
      </c>
      <c r="S23" s="4">
        <v>78.27</v>
      </c>
      <c r="T23" s="4">
        <v>79.66</v>
      </c>
      <c r="U23" s="4">
        <v>86.8</v>
      </c>
      <c r="V23" s="4">
        <v>88.37</v>
      </c>
      <c r="W23" s="4">
        <v>6.47</v>
      </c>
      <c r="X23" s="4">
        <v>6.4</v>
      </c>
      <c r="Y23" s="4">
        <v>0.44</v>
      </c>
      <c r="Z23" s="4">
        <v>0.35</v>
      </c>
      <c r="AA23" s="4">
        <v>99.24</v>
      </c>
      <c r="AB23" s="4">
        <v>0.62</v>
      </c>
      <c r="AC23" s="4">
        <v>0.14000000000000001</v>
      </c>
      <c r="AD23" s="4">
        <v>99.74</v>
      </c>
      <c r="AE23" s="4">
        <v>0.23</v>
      </c>
      <c r="AF23" s="6"/>
      <c r="AG23" s="4">
        <v>29.55</v>
      </c>
      <c r="AH23" s="3">
        <v>48431</v>
      </c>
      <c r="AI23" s="7">
        <f t="shared" si="0"/>
        <v>1.1202322300094836</v>
      </c>
      <c r="AJ23">
        <v>77</v>
      </c>
      <c r="AK23">
        <v>1.781047E-3</v>
      </c>
      <c r="AL23" s="4">
        <v>13.65</v>
      </c>
      <c r="AM23" s="4">
        <v>3.84</v>
      </c>
    </row>
    <row r="24" spans="1:39" x14ac:dyDescent="0.35">
      <c r="A24" s="2" t="s">
        <v>86</v>
      </c>
      <c r="B24" s="2" t="s">
        <v>87</v>
      </c>
      <c r="C24" s="2" t="s">
        <v>81</v>
      </c>
      <c r="D24" s="3">
        <v>4267600</v>
      </c>
      <c r="E24" s="4">
        <v>18.25</v>
      </c>
      <c r="F24" s="4">
        <v>17.53</v>
      </c>
      <c r="G24" s="5">
        <v>182.28</v>
      </c>
      <c r="H24" s="5">
        <v>178.2</v>
      </c>
      <c r="I24" s="4">
        <v>16.899999999999999</v>
      </c>
      <c r="J24" s="4">
        <v>15.46</v>
      </c>
      <c r="K24" s="5">
        <v>168.73</v>
      </c>
      <c r="L24" s="5">
        <v>157.13999999999999</v>
      </c>
      <c r="M24" s="4">
        <v>76.87</v>
      </c>
      <c r="N24" s="4">
        <v>79.5</v>
      </c>
      <c r="O24" s="4">
        <v>97.19</v>
      </c>
      <c r="P24" s="4">
        <v>98.04</v>
      </c>
      <c r="Q24" s="4">
        <v>94.91</v>
      </c>
      <c r="R24" s="4">
        <v>95.05</v>
      </c>
      <c r="S24" s="4">
        <v>88.45</v>
      </c>
      <c r="T24" s="4">
        <v>89.96</v>
      </c>
      <c r="U24" s="4">
        <v>92.57</v>
      </c>
      <c r="V24" s="4">
        <v>93.64</v>
      </c>
      <c r="W24" s="4">
        <v>2.54</v>
      </c>
      <c r="X24" s="4">
        <v>1.78</v>
      </c>
      <c r="Y24" s="4">
        <v>0.4</v>
      </c>
      <c r="Z24" s="4">
        <v>0.35</v>
      </c>
      <c r="AA24" s="4">
        <v>97.77</v>
      </c>
      <c r="AB24" s="4">
        <v>2.2000000000000002</v>
      </c>
      <c r="AC24" s="4">
        <v>0.03</v>
      </c>
      <c r="AD24" s="4">
        <v>97.63</v>
      </c>
      <c r="AE24" s="4">
        <v>2.35</v>
      </c>
      <c r="AF24" s="4">
        <v>0.02</v>
      </c>
      <c r="AG24" s="4">
        <v>21.5</v>
      </c>
      <c r="AH24" s="3">
        <v>50961</v>
      </c>
      <c r="AI24" s="7">
        <f t="shared" si="0"/>
        <v>1.1941372199831288</v>
      </c>
      <c r="AJ24">
        <v>52</v>
      </c>
      <c r="AK24">
        <v>1.218483E-3</v>
      </c>
      <c r="AL24" s="4">
        <v>144.77000000000001</v>
      </c>
      <c r="AM24" s="4">
        <v>5.17</v>
      </c>
    </row>
    <row r="25" spans="1:39" x14ac:dyDescent="0.35">
      <c r="A25" s="2" t="s">
        <v>88</v>
      </c>
      <c r="B25" s="2" t="s">
        <v>89</v>
      </c>
      <c r="C25" s="2" t="s">
        <v>81</v>
      </c>
      <c r="D25" s="3">
        <v>749400</v>
      </c>
      <c r="E25" s="4">
        <v>16.96</v>
      </c>
      <c r="F25" s="4">
        <v>15.9</v>
      </c>
      <c r="G25" s="5">
        <v>30.5</v>
      </c>
      <c r="H25" s="5">
        <v>29.74</v>
      </c>
      <c r="I25" s="4">
        <v>19.09</v>
      </c>
      <c r="J25" s="4">
        <v>17.53</v>
      </c>
      <c r="K25" s="5">
        <v>34.33</v>
      </c>
      <c r="L25" s="5">
        <v>32.79</v>
      </c>
      <c r="M25" s="4">
        <v>74.86</v>
      </c>
      <c r="N25" s="4">
        <v>76.959999999999994</v>
      </c>
      <c r="O25" s="4">
        <v>99.74</v>
      </c>
      <c r="P25" s="4">
        <v>99.43</v>
      </c>
      <c r="Q25" s="4">
        <v>92.82</v>
      </c>
      <c r="R25" s="4">
        <v>95.31</v>
      </c>
      <c r="S25" s="4">
        <v>91.59</v>
      </c>
      <c r="T25" s="4">
        <v>92.97</v>
      </c>
      <c r="U25" s="4">
        <v>86</v>
      </c>
      <c r="V25" s="4">
        <v>86.07</v>
      </c>
      <c r="W25" s="6"/>
      <c r="X25" s="6"/>
      <c r="Y25" s="4">
        <v>1.73</v>
      </c>
      <c r="Z25" s="4">
        <v>1.4</v>
      </c>
      <c r="AA25" s="4">
        <v>97.73</v>
      </c>
      <c r="AB25" s="4">
        <v>2.16</v>
      </c>
      <c r="AC25" s="6"/>
      <c r="AD25" s="4">
        <v>98.14</v>
      </c>
      <c r="AE25" s="4">
        <v>1.82</v>
      </c>
      <c r="AF25" s="6"/>
      <c r="AG25" s="4">
        <v>21.76</v>
      </c>
      <c r="AH25" s="3">
        <v>12518</v>
      </c>
      <c r="AI25" s="7">
        <f t="shared" si="0"/>
        <v>1.6704029890579131</v>
      </c>
      <c r="AJ25">
        <v>64</v>
      </c>
      <c r="AK25">
        <v>8.5401650000000006E-3</v>
      </c>
      <c r="AL25" s="4">
        <v>35.5</v>
      </c>
      <c r="AM25" s="4">
        <v>5.54</v>
      </c>
    </row>
    <row r="26" spans="1:39" x14ac:dyDescent="0.35">
      <c r="A26" s="2" t="s">
        <v>90</v>
      </c>
      <c r="B26" s="2" t="s">
        <v>91</v>
      </c>
      <c r="C26" s="2" t="s">
        <v>92</v>
      </c>
      <c r="D26" s="3">
        <v>2721400</v>
      </c>
      <c r="E26" s="4">
        <v>15.58</v>
      </c>
      <c r="F26" s="4">
        <v>15.07</v>
      </c>
      <c r="G26" s="5">
        <v>106.66</v>
      </c>
      <c r="H26" s="5">
        <v>104.72</v>
      </c>
      <c r="I26" s="4">
        <v>18.989999999999998</v>
      </c>
      <c r="J26" s="4">
        <v>16.34</v>
      </c>
      <c r="K26" s="5">
        <v>130</v>
      </c>
      <c r="L26" s="5">
        <v>113.54</v>
      </c>
      <c r="M26" s="4">
        <v>76.84</v>
      </c>
      <c r="N26" s="4">
        <v>79.72</v>
      </c>
      <c r="O26" s="4">
        <v>96.32</v>
      </c>
      <c r="P26" s="4">
        <v>97.02</v>
      </c>
      <c r="Q26" s="4">
        <v>94.13</v>
      </c>
      <c r="R26" s="4">
        <v>94.49</v>
      </c>
      <c r="S26" s="4">
        <v>94.86</v>
      </c>
      <c r="T26" s="4">
        <v>95.03</v>
      </c>
      <c r="U26" s="4">
        <v>87.72</v>
      </c>
      <c r="V26" s="4">
        <v>89.64</v>
      </c>
      <c r="W26" s="4">
        <v>1.72</v>
      </c>
      <c r="X26" s="4">
        <v>1.1299999999999999</v>
      </c>
      <c r="Y26" s="4">
        <v>3.31</v>
      </c>
      <c r="Z26" s="4">
        <v>3.08</v>
      </c>
      <c r="AA26" s="4">
        <v>99.78</v>
      </c>
      <c r="AB26" s="4">
        <v>0.06</v>
      </c>
      <c r="AC26" s="4">
        <v>0.16</v>
      </c>
      <c r="AD26" s="4">
        <v>99.89</v>
      </c>
      <c r="AE26" s="4">
        <v>0.04</v>
      </c>
      <c r="AF26" s="4">
        <v>0.06</v>
      </c>
      <c r="AG26" s="4">
        <v>22.49</v>
      </c>
      <c r="AH26" s="3">
        <v>12696</v>
      </c>
      <c r="AI26" s="7">
        <f t="shared" si="0"/>
        <v>0.4665245829352539</v>
      </c>
      <c r="AJ26">
        <v>67</v>
      </c>
      <c r="AK26">
        <v>2.4619680000000001E-3</v>
      </c>
      <c r="AL26" s="4">
        <v>57.95</v>
      </c>
      <c r="AM26" s="4">
        <v>6.71</v>
      </c>
    </row>
    <row r="27" spans="1:39" x14ac:dyDescent="0.35">
      <c r="A27" s="2" t="s">
        <v>93</v>
      </c>
      <c r="B27" s="2" t="s">
        <v>94</v>
      </c>
      <c r="C27" s="2" t="s">
        <v>92</v>
      </c>
      <c r="D27" s="3">
        <v>3156100</v>
      </c>
      <c r="E27" s="4">
        <v>9.0399999999999991</v>
      </c>
      <c r="F27" s="4">
        <v>8.7200000000000006</v>
      </c>
      <c r="G27" s="5">
        <v>72.33</v>
      </c>
      <c r="H27" s="5">
        <v>70.760000000000005</v>
      </c>
      <c r="I27" s="4">
        <v>30.81</v>
      </c>
      <c r="J27" s="4">
        <v>29.07</v>
      </c>
      <c r="K27" s="5">
        <v>246.54</v>
      </c>
      <c r="L27" s="5">
        <v>235.78</v>
      </c>
      <c r="M27" s="4">
        <v>65.19</v>
      </c>
      <c r="N27" s="4">
        <v>67.64</v>
      </c>
      <c r="O27" s="4">
        <v>96.24</v>
      </c>
      <c r="P27" s="4">
        <v>96.99</v>
      </c>
      <c r="Q27" s="4">
        <v>90.37</v>
      </c>
      <c r="R27" s="4">
        <v>90.96</v>
      </c>
      <c r="S27" s="4">
        <v>87.55</v>
      </c>
      <c r="T27" s="4">
        <v>88.44</v>
      </c>
      <c r="U27" s="4">
        <v>79.62</v>
      </c>
      <c r="V27" s="4">
        <v>81.58</v>
      </c>
      <c r="W27" s="4">
        <v>0.39</v>
      </c>
      <c r="X27" s="4">
        <v>0.41</v>
      </c>
      <c r="Y27" s="4">
        <v>8.0500000000000007</v>
      </c>
      <c r="Z27" s="4">
        <v>7.76</v>
      </c>
      <c r="AA27" s="4">
        <v>96.77</v>
      </c>
      <c r="AB27" s="4">
        <v>1.93</v>
      </c>
      <c r="AC27" s="4">
        <v>1.3</v>
      </c>
      <c r="AD27" s="4">
        <v>97.38</v>
      </c>
      <c r="AE27" s="4">
        <v>2.1</v>
      </c>
      <c r="AF27" s="4">
        <v>0.52</v>
      </c>
      <c r="AG27" s="4">
        <v>21.68</v>
      </c>
      <c r="AH27" s="3">
        <v>34626</v>
      </c>
      <c r="AI27" s="7">
        <f t="shared" si="0"/>
        <v>1.0971135261873832</v>
      </c>
      <c r="AJ27">
        <v>84</v>
      </c>
      <c r="AK27">
        <v>2.6615129999999999E-3</v>
      </c>
      <c r="AL27" s="4">
        <v>35.61</v>
      </c>
      <c r="AM27" s="4">
        <v>10.92</v>
      </c>
    </row>
    <row r="28" spans="1:39" x14ac:dyDescent="0.35">
      <c r="A28" s="2" t="s">
        <v>95</v>
      </c>
      <c r="B28" s="2" t="s">
        <v>96</v>
      </c>
      <c r="C28" s="2" t="s">
        <v>92</v>
      </c>
      <c r="D28" s="3">
        <v>9563100</v>
      </c>
      <c r="E28" s="4">
        <v>9.65</v>
      </c>
      <c r="F28" s="4">
        <v>9.18</v>
      </c>
      <c r="G28" s="5">
        <v>211.05</v>
      </c>
      <c r="H28" s="5">
        <v>202.12</v>
      </c>
      <c r="I28" s="4">
        <v>17.88</v>
      </c>
      <c r="J28" s="4">
        <v>16.88</v>
      </c>
      <c r="K28" s="5">
        <v>391.24</v>
      </c>
      <c r="L28" s="5">
        <v>371.71</v>
      </c>
      <c r="M28" s="4">
        <v>78.67</v>
      </c>
      <c r="N28" s="4">
        <v>80.650000000000006</v>
      </c>
      <c r="O28" s="4">
        <v>93.85</v>
      </c>
      <c r="P28" s="4">
        <v>94.29</v>
      </c>
      <c r="Q28" s="4">
        <v>94.46</v>
      </c>
      <c r="R28" s="4">
        <v>94.97</v>
      </c>
      <c r="S28" s="4">
        <v>93.25</v>
      </c>
      <c r="T28" s="4">
        <v>94.13</v>
      </c>
      <c r="U28" s="4">
        <v>94.19</v>
      </c>
      <c r="V28" s="4">
        <v>94.64</v>
      </c>
      <c r="W28" s="4">
        <v>0.99</v>
      </c>
      <c r="X28" s="4">
        <v>1.07</v>
      </c>
      <c r="Y28" s="4">
        <v>1.35</v>
      </c>
      <c r="Z28" s="4">
        <v>1.24</v>
      </c>
      <c r="AA28" s="4">
        <v>98.53</v>
      </c>
      <c r="AB28" s="4">
        <v>1.34</v>
      </c>
      <c r="AC28" s="4">
        <v>0.14000000000000001</v>
      </c>
      <c r="AD28" s="4">
        <v>99.14</v>
      </c>
      <c r="AE28" s="4">
        <v>0.8</v>
      </c>
      <c r="AF28" s="4">
        <v>7.0000000000000007E-2</v>
      </c>
      <c r="AG28" s="4">
        <v>27.1</v>
      </c>
      <c r="AH28" s="3">
        <v>137848</v>
      </c>
      <c r="AI28" s="7">
        <f t="shared" si="0"/>
        <v>1.4414572680406981</v>
      </c>
      <c r="AJ28">
        <v>65</v>
      </c>
      <c r="AK28">
        <v>6.7969600000000003E-4</v>
      </c>
      <c r="AL28" s="4">
        <v>45.81</v>
      </c>
      <c r="AM28" s="4">
        <v>7.6</v>
      </c>
    </row>
    <row r="29" spans="1:39" x14ac:dyDescent="0.35">
      <c r="A29" s="2" t="s">
        <v>97</v>
      </c>
      <c r="B29" s="2" t="s">
        <v>98</v>
      </c>
      <c r="C29" s="2" t="s">
        <v>92</v>
      </c>
      <c r="D29" s="3">
        <v>2836700</v>
      </c>
      <c r="E29" s="4">
        <v>7.09</v>
      </c>
      <c r="F29" s="4">
        <v>5.94</v>
      </c>
      <c r="G29" s="5">
        <v>48.63</v>
      </c>
      <c r="H29" s="5">
        <v>41.35</v>
      </c>
      <c r="I29" s="4">
        <v>17.39</v>
      </c>
      <c r="J29" s="4">
        <v>16.510000000000002</v>
      </c>
      <c r="K29" s="5">
        <v>119.23</v>
      </c>
      <c r="L29" s="5">
        <v>114.92</v>
      </c>
      <c r="M29" s="4">
        <v>80.11</v>
      </c>
      <c r="N29" s="4">
        <v>81.64</v>
      </c>
      <c r="O29" s="4">
        <v>95.75</v>
      </c>
      <c r="P29" s="4">
        <v>95.71</v>
      </c>
      <c r="Q29" s="4">
        <v>93.98</v>
      </c>
      <c r="R29" s="4">
        <v>94.2</v>
      </c>
      <c r="S29" s="4">
        <v>94.91</v>
      </c>
      <c r="T29" s="4">
        <v>96.01</v>
      </c>
      <c r="U29" s="4">
        <v>91.96</v>
      </c>
      <c r="V29" s="4">
        <v>93.03</v>
      </c>
      <c r="W29" s="4">
        <v>2.84</v>
      </c>
      <c r="X29" s="4">
        <v>2.71</v>
      </c>
      <c r="Y29" s="4">
        <v>2.1</v>
      </c>
      <c r="Z29" s="4">
        <v>1.89</v>
      </c>
      <c r="AA29" s="4">
        <v>98.32</v>
      </c>
      <c r="AB29" s="4">
        <v>1.63</v>
      </c>
      <c r="AC29" s="4">
        <v>0.06</v>
      </c>
      <c r="AD29" s="4">
        <v>99.37</v>
      </c>
      <c r="AE29" s="4">
        <v>0.54</v>
      </c>
      <c r="AF29" s="4">
        <v>0.09</v>
      </c>
      <c r="AG29" s="4">
        <v>20.22</v>
      </c>
      <c r="AH29" s="3">
        <v>34311</v>
      </c>
      <c r="AI29" s="7">
        <f t="shared" si="0"/>
        <v>1.2095392533577749</v>
      </c>
      <c r="AJ29">
        <v>72</v>
      </c>
      <c r="AK29">
        <v>2.5381610000000001E-3</v>
      </c>
      <c r="AL29" s="4">
        <v>41.03</v>
      </c>
      <c r="AM29" s="4">
        <v>10.54</v>
      </c>
    </row>
    <row r="30" spans="1:39" x14ac:dyDescent="0.35">
      <c r="A30" s="2" t="s">
        <v>99</v>
      </c>
      <c r="B30" s="2" t="s">
        <v>100</v>
      </c>
      <c r="C30" s="2" t="s">
        <v>92</v>
      </c>
      <c r="D30" s="3">
        <v>1242200</v>
      </c>
      <c r="E30" s="4">
        <v>12.28</v>
      </c>
      <c r="F30" s="4">
        <v>11.1</v>
      </c>
      <c r="G30" s="5">
        <v>36.93</v>
      </c>
      <c r="H30" s="5">
        <v>34.22</v>
      </c>
      <c r="I30" s="4">
        <v>20.28</v>
      </c>
      <c r="J30" s="4">
        <v>18.16</v>
      </c>
      <c r="K30" s="5">
        <v>60.96</v>
      </c>
      <c r="L30" s="5">
        <v>55.98</v>
      </c>
      <c r="M30" s="4">
        <v>75.75</v>
      </c>
      <c r="N30" s="4">
        <v>79.650000000000006</v>
      </c>
      <c r="O30" s="4">
        <v>98.7</v>
      </c>
      <c r="P30" s="4">
        <v>98.95</v>
      </c>
      <c r="Q30" s="4">
        <v>92.21</v>
      </c>
      <c r="R30" s="4">
        <v>94.4</v>
      </c>
      <c r="S30" s="4">
        <v>95.95</v>
      </c>
      <c r="T30" s="4">
        <v>97.26</v>
      </c>
      <c r="U30" s="4">
        <v>84.7</v>
      </c>
      <c r="V30" s="4">
        <v>85.82</v>
      </c>
      <c r="W30" s="6"/>
      <c r="X30" s="6"/>
      <c r="Y30" s="4">
        <v>4.79</v>
      </c>
      <c r="Z30" s="4">
        <v>4.59</v>
      </c>
      <c r="AA30" s="4">
        <v>99.58</v>
      </c>
      <c r="AB30" s="6"/>
      <c r="AC30" s="4">
        <v>0.33</v>
      </c>
      <c r="AD30" s="4">
        <v>99.84</v>
      </c>
      <c r="AE30" s="6"/>
      <c r="AF30" s="6"/>
      <c r="AG30" s="4">
        <v>28.62</v>
      </c>
      <c r="AH30" s="3">
        <v>11675</v>
      </c>
      <c r="AI30" s="7">
        <f t="shared" si="0"/>
        <v>0.9398647560779263</v>
      </c>
      <c r="AJ30">
        <v>77</v>
      </c>
      <c r="AK30">
        <v>6.1986799999999998E-3</v>
      </c>
      <c r="AL30" s="4">
        <v>54.5</v>
      </c>
      <c r="AM30" s="4">
        <v>13.24</v>
      </c>
    </row>
    <row r="31" spans="1:39" x14ac:dyDescent="0.35">
      <c r="A31" s="2" t="s">
        <v>101</v>
      </c>
      <c r="B31" s="2" t="s">
        <v>102</v>
      </c>
      <c r="C31" s="2" t="s">
        <v>92</v>
      </c>
      <c r="D31" s="3">
        <v>1525300</v>
      </c>
      <c r="E31" s="4">
        <v>4.07</v>
      </c>
      <c r="F31" s="4">
        <v>3.55</v>
      </c>
      <c r="G31" s="5">
        <v>13.67</v>
      </c>
      <c r="H31" s="5">
        <v>12.09</v>
      </c>
      <c r="I31" s="4">
        <v>31.11</v>
      </c>
      <c r="J31" s="4">
        <v>29.38</v>
      </c>
      <c r="K31" s="5">
        <v>104.35</v>
      </c>
      <c r="L31" s="5">
        <v>100.18</v>
      </c>
      <c r="M31" s="4">
        <v>66.28</v>
      </c>
      <c r="N31" s="4">
        <v>68.47</v>
      </c>
      <c r="O31" s="4">
        <v>96.06</v>
      </c>
      <c r="P31" s="4">
        <v>96.52</v>
      </c>
      <c r="Q31" s="4">
        <v>92.23</v>
      </c>
      <c r="R31" s="4">
        <v>92.38</v>
      </c>
      <c r="S31" s="4">
        <v>83</v>
      </c>
      <c r="T31" s="4">
        <v>84.19</v>
      </c>
      <c r="U31" s="4">
        <v>85.98</v>
      </c>
      <c r="V31" s="4">
        <v>86.87</v>
      </c>
      <c r="W31" s="4">
        <v>0.83</v>
      </c>
      <c r="X31" s="4">
        <v>0.79</v>
      </c>
      <c r="Y31" s="4">
        <v>6.03</v>
      </c>
      <c r="Z31" s="4">
        <v>5.3</v>
      </c>
      <c r="AA31" s="4">
        <v>97.1</v>
      </c>
      <c r="AB31" s="4">
        <v>2.58</v>
      </c>
      <c r="AC31" s="4">
        <v>0.32</v>
      </c>
      <c r="AD31" s="4">
        <v>95.94</v>
      </c>
      <c r="AE31" s="4">
        <v>3.84</v>
      </c>
      <c r="AF31" s="4">
        <v>0.22</v>
      </c>
      <c r="AG31" s="4">
        <v>24.28</v>
      </c>
      <c r="AH31" s="3">
        <v>23598</v>
      </c>
      <c r="AI31" s="7">
        <f t="shared" si="0"/>
        <v>1.5471054874450929</v>
      </c>
      <c r="AJ31">
        <v>80</v>
      </c>
      <c r="AK31">
        <v>5.2448699999999996E-3</v>
      </c>
      <c r="AL31" s="4">
        <v>77.62</v>
      </c>
      <c r="AM31" s="4">
        <v>10.41</v>
      </c>
    </row>
    <row r="32" spans="1:39" x14ac:dyDescent="0.35">
      <c r="A32" s="2" t="s">
        <v>103</v>
      </c>
      <c r="B32" s="2" t="s">
        <v>104</v>
      </c>
      <c r="C32" s="2" t="s">
        <v>104</v>
      </c>
      <c r="D32" s="3">
        <v>1970600</v>
      </c>
      <c r="E32" s="4">
        <v>11.07</v>
      </c>
      <c r="F32" s="4">
        <v>10.55</v>
      </c>
      <c r="G32" s="5">
        <v>45.29</v>
      </c>
      <c r="H32" s="5">
        <v>44.2</v>
      </c>
      <c r="I32" s="4">
        <v>25.83</v>
      </c>
      <c r="J32" s="4">
        <v>24.05</v>
      </c>
      <c r="K32" s="5">
        <v>105.74</v>
      </c>
      <c r="L32" s="5">
        <v>100.8</v>
      </c>
      <c r="M32" s="4">
        <v>69.150000000000006</v>
      </c>
      <c r="N32" s="4">
        <v>71.510000000000005</v>
      </c>
      <c r="O32" s="4">
        <v>94.86</v>
      </c>
      <c r="P32" s="4">
        <v>95.52</v>
      </c>
      <c r="Q32" s="4">
        <v>90.4</v>
      </c>
      <c r="R32" s="4">
        <v>90.39</v>
      </c>
      <c r="S32" s="4">
        <v>92.83</v>
      </c>
      <c r="T32" s="4">
        <v>94.46</v>
      </c>
      <c r="U32" s="4">
        <v>83.09</v>
      </c>
      <c r="V32" s="4">
        <v>84.62</v>
      </c>
      <c r="W32" s="4">
        <v>2.3199999999999998</v>
      </c>
      <c r="X32" s="4">
        <v>2.36</v>
      </c>
      <c r="Y32" s="4">
        <v>5.93</v>
      </c>
      <c r="Z32" s="4">
        <v>5.26</v>
      </c>
      <c r="AA32" s="4">
        <v>96.66</v>
      </c>
      <c r="AB32" s="4">
        <v>2.08</v>
      </c>
      <c r="AC32" s="4">
        <v>1.26</v>
      </c>
      <c r="AD32" s="4">
        <v>96.97</v>
      </c>
      <c r="AE32" s="4">
        <v>1.8</v>
      </c>
      <c r="AF32" s="4">
        <v>1.23</v>
      </c>
      <c r="AG32" s="4">
        <v>18.63</v>
      </c>
      <c r="AH32" s="3">
        <v>23536</v>
      </c>
      <c r="AI32" s="7">
        <f t="shared" si="0"/>
        <v>1.1943570486146351</v>
      </c>
      <c r="AJ32">
        <v>63</v>
      </c>
      <c r="AK32">
        <v>3.1969960000000001E-3</v>
      </c>
      <c r="AL32" s="4">
        <v>8.07</v>
      </c>
      <c r="AM32" s="4">
        <v>15.38</v>
      </c>
    </row>
    <row r="33" spans="1:39" x14ac:dyDescent="0.35">
      <c r="A33" s="2" t="s">
        <v>105</v>
      </c>
      <c r="B33" s="2" t="s">
        <v>106</v>
      </c>
      <c r="C33" s="2" t="s">
        <v>104</v>
      </c>
      <c r="D33" s="3">
        <v>1373800</v>
      </c>
      <c r="E33" s="4">
        <v>6.19</v>
      </c>
      <c r="F33" s="4">
        <v>5.62</v>
      </c>
      <c r="G33" s="5">
        <v>18.510000000000002</v>
      </c>
      <c r="H33" s="5">
        <v>17.399999999999999</v>
      </c>
      <c r="I33" s="4">
        <v>23.41</v>
      </c>
      <c r="J33" s="4">
        <v>22.31</v>
      </c>
      <c r="K33" s="5">
        <v>70.010000000000005</v>
      </c>
      <c r="L33" s="5">
        <v>69.03</v>
      </c>
      <c r="M33" s="4">
        <v>74.489999999999995</v>
      </c>
      <c r="N33" s="4">
        <v>76.05</v>
      </c>
      <c r="O33" s="4">
        <v>96.99</v>
      </c>
      <c r="P33" s="4">
        <v>97.26</v>
      </c>
      <c r="Q33" s="4">
        <v>97.03</v>
      </c>
      <c r="R33" s="4">
        <v>97.05</v>
      </c>
      <c r="S33" s="4">
        <v>90.01</v>
      </c>
      <c r="T33" s="4">
        <v>90.7</v>
      </c>
      <c r="U33" s="4">
        <v>84.12</v>
      </c>
      <c r="V33" s="4">
        <v>85.77</v>
      </c>
      <c r="W33" s="4">
        <v>0.19</v>
      </c>
      <c r="X33" s="4">
        <v>0.78</v>
      </c>
      <c r="Y33" s="4">
        <v>2.36</v>
      </c>
      <c r="Z33" s="4">
        <v>2.02</v>
      </c>
      <c r="AA33" s="4">
        <v>96.12</v>
      </c>
      <c r="AB33" s="4">
        <v>3.15</v>
      </c>
      <c r="AC33" s="4">
        <v>0.74</v>
      </c>
      <c r="AD33" s="4">
        <v>97.28</v>
      </c>
      <c r="AE33" s="4">
        <v>2.2000000000000002</v>
      </c>
      <c r="AF33" s="4">
        <v>0.52</v>
      </c>
      <c r="AG33" s="4">
        <v>13.44</v>
      </c>
      <c r="AH33" s="3">
        <v>16396</v>
      </c>
      <c r="AI33" s="7">
        <f t="shared" si="0"/>
        <v>1.1934779443878294</v>
      </c>
      <c r="AJ33">
        <v>80</v>
      </c>
      <c r="AK33">
        <v>5.8232639999999999E-3</v>
      </c>
      <c r="AL33" s="4">
        <v>22.49</v>
      </c>
      <c r="AM33" s="4">
        <v>5.81</v>
      </c>
    </row>
    <row r="34" spans="1:39" x14ac:dyDescent="0.35">
      <c r="A34" s="2" t="s">
        <v>107</v>
      </c>
      <c r="B34" s="2" t="s">
        <v>108</v>
      </c>
      <c r="C34" s="2" t="s">
        <v>109</v>
      </c>
      <c r="D34" s="3">
        <v>587600</v>
      </c>
      <c r="E34" s="4">
        <v>12.19</v>
      </c>
      <c r="F34" s="4">
        <v>11.86</v>
      </c>
      <c r="G34" s="5">
        <v>15.22</v>
      </c>
      <c r="H34" s="5">
        <v>15.07</v>
      </c>
      <c r="I34" s="4">
        <v>34.72</v>
      </c>
      <c r="J34" s="4">
        <v>33.18</v>
      </c>
      <c r="K34" s="5">
        <v>43.34</v>
      </c>
      <c r="L34" s="5">
        <v>42.16</v>
      </c>
      <c r="M34" s="4">
        <v>59.11</v>
      </c>
      <c r="N34" s="4">
        <v>60.89</v>
      </c>
      <c r="O34" s="4">
        <v>97.95</v>
      </c>
      <c r="P34" s="4">
        <v>98.13</v>
      </c>
      <c r="Q34" s="4">
        <v>88.88</v>
      </c>
      <c r="R34" s="4">
        <v>88.67</v>
      </c>
      <c r="S34" s="4">
        <v>82.95</v>
      </c>
      <c r="T34" s="4">
        <v>84.88</v>
      </c>
      <c r="U34" s="4">
        <v>78.55</v>
      </c>
      <c r="V34" s="4">
        <v>80.62</v>
      </c>
      <c r="W34" s="4">
        <v>0.89</v>
      </c>
      <c r="X34" s="4">
        <v>0.52</v>
      </c>
      <c r="Y34" s="4">
        <v>3.01</v>
      </c>
      <c r="Z34" s="4">
        <v>2.65</v>
      </c>
      <c r="AA34" s="4">
        <v>84.16</v>
      </c>
      <c r="AB34" s="4">
        <v>12.43</v>
      </c>
      <c r="AC34" s="4">
        <v>3.41</v>
      </c>
      <c r="AD34" s="4">
        <v>86.02</v>
      </c>
      <c r="AE34" s="4">
        <v>10.49</v>
      </c>
      <c r="AF34" s="4">
        <v>3.49</v>
      </c>
      <c r="AG34" s="4">
        <v>14.21</v>
      </c>
      <c r="AH34" s="3">
        <v>6458</v>
      </c>
      <c r="AI34" s="7">
        <f t="shared" si="0"/>
        <v>1.0990469707283865</v>
      </c>
      <c r="AJ34">
        <v>88</v>
      </c>
      <c r="AK34">
        <v>1.4976174E-2</v>
      </c>
      <c r="AL34" s="4">
        <v>3.4</v>
      </c>
      <c r="AM34" s="4">
        <v>20.66</v>
      </c>
    </row>
    <row r="35" spans="1:39" x14ac:dyDescent="0.35">
      <c r="A35" s="2" t="s">
        <v>110</v>
      </c>
      <c r="B35" s="2" t="s">
        <v>111</v>
      </c>
      <c r="C35" s="2" t="s">
        <v>109</v>
      </c>
      <c r="D35" s="3">
        <v>636400</v>
      </c>
      <c r="E35" s="4">
        <v>12.55</v>
      </c>
      <c r="F35" s="4">
        <v>11.1</v>
      </c>
      <c r="G35" s="5">
        <v>16.66</v>
      </c>
      <c r="H35" s="5">
        <v>15.88</v>
      </c>
      <c r="I35" s="4">
        <v>36.35</v>
      </c>
      <c r="J35" s="4">
        <v>31.61</v>
      </c>
      <c r="K35" s="5">
        <v>48.24</v>
      </c>
      <c r="L35" s="5">
        <v>45.23</v>
      </c>
      <c r="M35" s="4">
        <v>57.76</v>
      </c>
      <c r="N35" s="4">
        <v>60.9</v>
      </c>
      <c r="O35" s="4">
        <v>97.71</v>
      </c>
      <c r="P35" s="4">
        <v>97.65</v>
      </c>
      <c r="Q35" s="4">
        <v>88.26</v>
      </c>
      <c r="R35" s="4">
        <v>88.23</v>
      </c>
      <c r="S35" s="4">
        <v>80.64</v>
      </c>
      <c r="T35" s="4">
        <v>81.77</v>
      </c>
      <c r="U35" s="4">
        <v>79.56</v>
      </c>
      <c r="V35" s="4">
        <v>82.02</v>
      </c>
      <c r="W35" s="4">
        <v>0.72</v>
      </c>
      <c r="X35" s="4">
        <v>0.75</v>
      </c>
      <c r="Y35" s="4">
        <v>2.2400000000000002</v>
      </c>
      <c r="Z35" s="4">
        <v>2.06</v>
      </c>
      <c r="AA35" s="4">
        <v>94.09</v>
      </c>
      <c r="AB35" s="4">
        <v>4.46</v>
      </c>
      <c r="AC35" s="4">
        <v>1.44</v>
      </c>
      <c r="AD35" s="4">
        <v>91.14</v>
      </c>
      <c r="AE35" s="4">
        <v>7.56</v>
      </c>
      <c r="AF35" s="4">
        <v>1.3</v>
      </c>
      <c r="AG35" s="4">
        <v>19.149999999999999</v>
      </c>
      <c r="AH35" s="3">
        <v>5481</v>
      </c>
      <c r="AI35" s="7">
        <f t="shared" si="0"/>
        <v>0.8612507856693904</v>
      </c>
      <c r="AJ35">
        <v>82</v>
      </c>
      <c r="AK35">
        <v>1.2884978E-2</v>
      </c>
      <c r="AL35" s="6"/>
      <c r="AM35" s="4">
        <v>17.95</v>
      </c>
    </row>
    <row r="36" spans="1:39" x14ac:dyDescent="0.35">
      <c r="A36" s="2" t="s">
        <v>112</v>
      </c>
      <c r="B36" s="2" t="s">
        <v>109</v>
      </c>
      <c r="C36" s="2" t="s">
        <v>109</v>
      </c>
      <c r="D36" s="3">
        <v>1073600</v>
      </c>
      <c r="E36" s="4">
        <v>17.399999999999999</v>
      </c>
      <c r="F36" s="4">
        <v>16.559999999999999</v>
      </c>
      <c r="G36" s="5">
        <v>38.28</v>
      </c>
      <c r="H36" s="5">
        <v>37.659999999999997</v>
      </c>
      <c r="I36" s="4">
        <v>32.51</v>
      </c>
      <c r="J36" s="4">
        <v>28.82</v>
      </c>
      <c r="K36" s="5">
        <v>71.540000000000006</v>
      </c>
      <c r="L36" s="5">
        <v>65.53</v>
      </c>
      <c r="M36" s="4">
        <v>58.41</v>
      </c>
      <c r="N36" s="4">
        <v>62</v>
      </c>
      <c r="O36" s="4">
        <v>98.55</v>
      </c>
      <c r="P36" s="4">
        <v>99.04</v>
      </c>
      <c r="Q36" s="4">
        <v>85.83</v>
      </c>
      <c r="R36" s="4">
        <v>86.62</v>
      </c>
      <c r="S36" s="4">
        <v>87.7</v>
      </c>
      <c r="T36" s="4">
        <v>88.98</v>
      </c>
      <c r="U36" s="4">
        <v>76.709999999999994</v>
      </c>
      <c r="V36" s="4">
        <v>78.099999999999994</v>
      </c>
      <c r="W36" s="4">
        <v>0.91</v>
      </c>
      <c r="X36" s="4">
        <v>0.27</v>
      </c>
      <c r="Y36" s="4">
        <v>2.57</v>
      </c>
      <c r="Z36" s="4">
        <v>2.17</v>
      </c>
      <c r="AA36" s="4">
        <v>91.78</v>
      </c>
      <c r="AB36" s="4">
        <v>4.87</v>
      </c>
      <c r="AC36" s="4">
        <v>3.35</v>
      </c>
      <c r="AD36" s="4">
        <v>93.41</v>
      </c>
      <c r="AE36" s="4">
        <v>3.83</v>
      </c>
      <c r="AF36" s="4">
        <v>2.75</v>
      </c>
      <c r="AG36" s="4">
        <v>15.94</v>
      </c>
      <c r="AH36" s="3">
        <v>9722</v>
      </c>
      <c r="AI36" s="7">
        <f t="shared" si="0"/>
        <v>0.90555141579731746</v>
      </c>
      <c r="AJ36">
        <v>58</v>
      </c>
      <c r="AK36">
        <v>5.402385E-3</v>
      </c>
      <c r="AL36" s="4">
        <v>2.14</v>
      </c>
      <c r="AM36" s="4">
        <v>19.16</v>
      </c>
    </row>
    <row r="37" spans="1:39" x14ac:dyDescent="0.35">
      <c r="A37" s="2" t="s">
        <v>113</v>
      </c>
      <c r="B37" s="2" t="s">
        <v>114</v>
      </c>
      <c r="C37" s="2" t="s">
        <v>109</v>
      </c>
      <c r="D37" s="3">
        <v>549700</v>
      </c>
      <c r="E37" s="4">
        <v>15.89</v>
      </c>
      <c r="F37" s="4">
        <v>14.9</v>
      </c>
      <c r="G37" s="5">
        <v>21.24</v>
      </c>
      <c r="H37" s="5">
        <v>20.28</v>
      </c>
      <c r="I37" s="4">
        <v>44.85</v>
      </c>
      <c r="J37" s="4">
        <v>45.07</v>
      </c>
      <c r="K37" s="5">
        <v>59.93</v>
      </c>
      <c r="L37" s="5">
        <v>61.31</v>
      </c>
      <c r="M37" s="4">
        <v>43.88</v>
      </c>
      <c r="N37" s="4">
        <v>45.15</v>
      </c>
      <c r="O37" s="4">
        <v>90.92</v>
      </c>
      <c r="P37" s="4">
        <v>92.78</v>
      </c>
      <c r="Q37" s="4">
        <v>81.34</v>
      </c>
      <c r="R37" s="4">
        <v>82.25</v>
      </c>
      <c r="S37" s="4">
        <v>71.28</v>
      </c>
      <c r="T37" s="4">
        <v>73.510000000000005</v>
      </c>
      <c r="U37" s="4">
        <v>65.06</v>
      </c>
      <c r="V37" s="4">
        <v>66.849999999999994</v>
      </c>
      <c r="W37" s="4">
        <v>1.1100000000000001</v>
      </c>
      <c r="X37" s="4">
        <v>0.65</v>
      </c>
      <c r="Y37" s="4">
        <v>16.46</v>
      </c>
      <c r="Z37" s="4">
        <v>15.01</v>
      </c>
      <c r="AA37" s="4">
        <v>73.62</v>
      </c>
      <c r="AB37" s="4">
        <v>9.99</v>
      </c>
      <c r="AC37" s="4">
        <v>16.39</v>
      </c>
      <c r="AD37" s="4">
        <v>75.22</v>
      </c>
      <c r="AE37" s="4">
        <v>9.2100000000000009</v>
      </c>
      <c r="AF37" s="4">
        <v>15.58</v>
      </c>
      <c r="AG37" s="4">
        <v>19.09</v>
      </c>
      <c r="AH37" s="3">
        <v>21503</v>
      </c>
      <c r="AI37" s="7">
        <f t="shared" si="0"/>
        <v>3.9117700563943965</v>
      </c>
      <c r="AJ37">
        <v>81</v>
      </c>
      <c r="AK37">
        <v>1.473531E-2</v>
      </c>
      <c r="AL37" s="4">
        <v>25.65</v>
      </c>
      <c r="AM37" s="4">
        <v>19.71</v>
      </c>
    </row>
    <row r="38" spans="1:39" x14ac:dyDescent="0.35">
      <c r="A38" s="2" t="s">
        <v>115</v>
      </c>
      <c r="B38" s="2" t="s">
        <v>116</v>
      </c>
      <c r="C38" s="2" t="s">
        <v>109</v>
      </c>
      <c r="D38" s="3">
        <v>1492300</v>
      </c>
      <c r="E38" s="4">
        <v>8.7100000000000009</v>
      </c>
      <c r="F38" s="4">
        <v>6.86</v>
      </c>
      <c r="G38" s="5">
        <v>25.02</v>
      </c>
      <c r="H38" s="5">
        <v>20.38</v>
      </c>
      <c r="I38" s="4">
        <v>66.930000000000007</v>
      </c>
      <c r="J38" s="4">
        <v>63.66</v>
      </c>
      <c r="K38" s="5">
        <v>192.27</v>
      </c>
      <c r="L38" s="5">
        <v>189.11</v>
      </c>
      <c r="M38" s="4">
        <v>30.95</v>
      </c>
      <c r="N38" s="4">
        <v>34.22</v>
      </c>
      <c r="O38" s="4">
        <v>78.349999999999994</v>
      </c>
      <c r="P38" s="4">
        <v>79.13</v>
      </c>
      <c r="Q38" s="4">
        <v>78.900000000000006</v>
      </c>
      <c r="R38" s="4">
        <v>79.33</v>
      </c>
      <c r="S38" s="4">
        <v>83.21</v>
      </c>
      <c r="T38" s="4">
        <v>83.94</v>
      </c>
      <c r="U38" s="4">
        <v>39.729999999999997</v>
      </c>
      <c r="V38" s="4">
        <v>41.19</v>
      </c>
      <c r="W38" s="4">
        <v>0.36</v>
      </c>
      <c r="X38" s="4">
        <v>0.33</v>
      </c>
      <c r="Y38" s="4">
        <v>21.77</v>
      </c>
      <c r="Z38" s="4">
        <v>18.66</v>
      </c>
      <c r="AA38" s="4">
        <v>35.67</v>
      </c>
      <c r="AB38" s="4">
        <v>31.8</v>
      </c>
      <c r="AC38" s="4">
        <v>32.54</v>
      </c>
      <c r="AD38" s="4">
        <v>45.22</v>
      </c>
      <c r="AE38" s="4">
        <v>24.2</v>
      </c>
      <c r="AF38" s="4">
        <v>30.58</v>
      </c>
      <c r="AG38" s="4">
        <v>8.57</v>
      </c>
      <c r="AH38" s="3">
        <v>4791</v>
      </c>
      <c r="AI38" s="7">
        <f t="shared" si="0"/>
        <v>0.32104804663941566</v>
      </c>
      <c r="AJ38">
        <v>72</v>
      </c>
      <c r="AK38">
        <v>4.8247669999999998E-3</v>
      </c>
      <c r="AL38" s="4">
        <v>9.34</v>
      </c>
      <c r="AM38" s="4">
        <v>28.9</v>
      </c>
    </row>
    <row r="39" spans="1:39" x14ac:dyDescent="0.35">
      <c r="A39" s="2" t="s">
        <v>117</v>
      </c>
      <c r="B39" s="2" t="s">
        <v>118</v>
      </c>
      <c r="C39" s="2" t="s">
        <v>109</v>
      </c>
      <c r="D39" s="3">
        <v>1484900</v>
      </c>
      <c r="E39" s="4">
        <v>1.64</v>
      </c>
      <c r="F39" s="4">
        <v>1.39</v>
      </c>
      <c r="G39" s="5">
        <v>5</v>
      </c>
      <c r="H39" s="5">
        <v>4.45</v>
      </c>
      <c r="I39" s="4">
        <v>89.14</v>
      </c>
      <c r="J39" s="4">
        <v>91.76</v>
      </c>
      <c r="K39" s="5">
        <v>271.60000000000002</v>
      </c>
      <c r="L39" s="5">
        <v>294.63</v>
      </c>
      <c r="M39" s="4">
        <v>9.5299999999999994</v>
      </c>
      <c r="N39" s="4">
        <v>7.3</v>
      </c>
      <c r="O39" s="4">
        <v>50.2</v>
      </c>
      <c r="P39" s="4">
        <v>51.48</v>
      </c>
      <c r="Q39" s="4">
        <v>72.02</v>
      </c>
      <c r="R39" s="4">
        <v>74.44</v>
      </c>
      <c r="S39" s="4">
        <v>32.89</v>
      </c>
      <c r="T39" s="4">
        <v>33.32</v>
      </c>
      <c r="U39" s="4">
        <v>16.34</v>
      </c>
      <c r="V39" s="4">
        <v>17.98</v>
      </c>
      <c r="W39" s="4">
        <v>0.55000000000000004</v>
      </c>
      <c r="X39" s="4">
        <v>0.55000000000000004</v>
      </c>
      <c r="Y39" s="4">
        <v>33.19</v>
      </c>
      <c r="Z39" s="4">
        <v>31.61</v>
      </c>
      <c r="AA39" s="4">
        <v>20.78</v>
      </c>
      <c r="AB39" s="4">
        <v>48.09</v>
      </c>
      <c r="AC39" s="4">
        <v>31.12</v>
      </c>
      <c r="AD39" s="4">
        <v>22.42</v>
      </c>
      <c r="AE39" s="4">
        <v>46.59</v>
      </c>
      <c r="AF39" s="4">
        <v>31</v>
      </c>
      <c r="AG39" s="4">
        <v>12.94</v>
      </c>
      <c r="AH39" s="3">
        <v>1773</v>
      </c>
      <c r="AI39" s="7">
        <f t="shared" si="0"/>
        <v>0.11940197993130851</v>
      </c>
      <c r="AJ39">
        <v>41</v>
      </c>
      <c r="AK39">
        <v>2.7611290000000002E-3</v>
      </c>
      <c r="AL39" s="6"/>
      <c r="AM39" s="4">
        <v>30.03</v>
      </c>
    </row>
    <row r="40" spans="1:39" x14ac:dyDescent="0.35">
      <c r="A40" s="2" t="s">
        <v>119</v>
      </c>
      <c r="B40" s="2" t="s">
        <v>120</v>
      </c>
      <c r="C40" s="2"/>
      <c r="D40" s="3">
        <v>284438800</v>
      </c>
      <c r="E40" s="4">
        <v>13</v>
      </c>
      <c r="F40" s="4">
        <v>12.39</v>
      </c>
      <c r="G40" s="5">
        <v>9637.16</v>
      </c>
      <c r="H40" s="5">
        <v>9289.0499999999993</v>
      </c>
      <c r="I40" s="4">
        <v>25.33</v>
      </c>
      <c r="J40" s="4">
        <v>24.03</v>
      </c>
      <c r="K40" s="5">
        <v>18771.91</v>
      </c>
      <c r="L40" s="5">
        <v>18009.150000000001</v>
      </c>
      <c r="M40" s="4">
        <v>68.400000000000006</v>
      </c>
      <c r="N40" s="4">
        <v>70.3</v>
      </c>
      <c r="O40" s="4">
        <v>87.1</v>
      </c>
      <c r="P40" s="4">
        <v>87.52</v>
      </c>
      <c r="Q40" s="4">
        <v>94.66</v>
      </c>
      <c r="R40" s="4">
        <v>94.91</v>
      </c>
      <c r="S40" s="4">
        <v>93.22</v>
      </c>
      <c r="T40" s="4">
        <v>93.71</v>
      </c>
      <c r="U40" s="4">
        <v>85.37</v>
      </c>
      <c r="V40" s="4">
        <v>86.73</v>
      </c>
      <c r="W40" s="4">
        <v>9.75</v>
      </c>
      <c r="X40" s="4">
        <v>9.34</v>
      </c>
      <c r="Y40" s="4">
        <v>2.35</v>
      </c>
      <c r="Z40" s="4">
        <v>2.15</v>
      </c>
      <c r="AA40" s="4">
        <v>98.46</v>
      </c>
      <c r="AB40" s="4">
        <v>1.0900000000000001</v>
      </c>
      <c r="AC40" s="4">
        <v>0.45</v>
      </c>
      <c r="AD40" s="4">
        <v>98.62</v>
      </c>
      <c r="AE40" s="4">
        <v>0.97</v>
      </c>
      <c r="AF40" s="4">
        <v>0.41</v>
      </c>
      <c r="AG40" s="4">
        <v>28.31</v>
      </c>
      <c r="AH40" s="3">
        <v>3250149</v>
      </c>
      <c r="AI40" s="7">
        <f t="shared" si="0"/>
        <v>1.1426531823365871</v>
      </c>
      <c r="AJ40">
        <v>79</v>
      </c>
      <c r="AK40" s="10">
        <v>2.7773999999999999E-5</v>
      </c>
      <c r="AL40" s="4">
        <v>57.02</v>
      </c>
      <c r="AM40" s="4">
        <v>8.4700000000000006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defaultColWidth="8.6328125" defaultRowHeight="14.5" x14ac:dyDescent="0.35"/>
  <cols>
    <col min="1" max="1" width="28" customWidth="1"/>
    <col min="2" max="2" width="110" customWidth="1"/>
  </cols>
  <sheetData>
    <row r="1" spans="1:2" ht="25" x14ac:dyDescent="0.35">
      <c r="A1" s="8" t="s">
        <v>121</v>
      </c>
      <c r="B1" s="9" t="s">
        <v>122</v>
      </c>
    </row>
    <row r="2" spans="1:2" x14ac:dyDescent="0.35">
      <c r="A2" s="8" t="s">
        <v>123</v>
      </c>
      <c r="B2" s="9" t="s">
        <v>124</v>
      </c>
    </row>
    <row r="3" spans="1:2" x14ac:dyDescent="0.35">
      <c r="A3" s="8" t="s">
        <v>125</v>
      </c>
      <c r="B3" s="9" t="s">
        <v>126</v>
      </c>
    </row>
    <row r="4" spans="1:2" x14ac:dyDescent="0.35">
      <c r="A4" s="8" t="s">
        <v>127</v>
      </c>
      <c r="B4" s="9" t="s">
        <v>128</v>
      </c>
    </row>
    <row r="5" spans="1:2" x14ac:dyDescent="0.35">
      <c r="A5" s="8" t="s">
        <v>129</v>
      </c>
      <c r="B5" s="9" t="s">
        <v>130</v>
      </c>
    </row>
    <row r="6" spans="1:2" x14ac:dyDescent="0.35">
      <c r="A6" s="8" t="s">
        <v>131</v>
      </c>
      <c r="B6" s="9" t="s">
        <v>132</v>
      </c>
    </row>
    <row r="7" spans="1:2" ht="25" x14ac:dyDescent="0.35">
      <c r="A7" s="8" t="s">
        <v>133</v>
      </c>
      <c r="B7" s="9" t="s">
        <v>134</v>
      </c>
    </row>
    <row r="8" spans="1:2" x14ac:dyDescent="0.35">
      <c r="A8" s="8" t="s">
        <v>32</v>
      </c>
      <c r="B8" s="9" t="s">
        <v>135</v>
      </c>
    </row>
    <row r="9" spans="1:2" ht="25" x14ac:dyDescent="0.35">
      <c r="A9" s="8" t="s">
        <v>33</v>
      </c>
      <c r="B9" s="9" t="s">
        <v>136</v>
      </c>
    </row>
    <row r="10" spans="1:2" x14ac:dyDescent="0.35">
      <c r="A10" s="8" t="s">
        <v>34</v>
      </c>
      <c r="B10" s="9" t="s">
        <v>137</v>
      </c>
    </row>
    <row r="11" spans="1:2" ht="25" x14ac:dyDescent="0.35">
      <c r="A11" s="8" t="s">
        <v>35</v>
      </c>
      <c r="B11" s="9" t="s">
        <v>138</v>
      </c>
    </row>
    <row r="12" spans="1:2" ht="25" x14ac:dyDescent="0.35">
      <c r="A12" s="8" t="s">
        <v>36</v>
      </c>
      <c r="B12" s="9" t="s">
        <v>139</v>
      </c>
    </row>
    <row r="13" spans="1:2" x14ac:dyDescent="0.35">
      <c r="A13" s="8" t="s">
        <v>140</v>
      </c>
      <c r="B13" s="9" t="s">
        <v>141</v>
      </c>
    </row>
    <row r="14" spans="1:2" ht="25" x14ac:dyDescent="0.35">
      <c r="A14" s="8" t="s">
        <v>142</v>
      </c>
      <c r="B14" s="9" t="s">
        <v>143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provinsi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MG QC</cp:lastModifiedBy>
  <cp:revision>0</cp:revision>
  <dcterms:created xsi:type="dcterms:W3CDTF">2026-10-04T23:13:27Z</dcterms:created>
  <dcterms:modified xsi:type="dcterms:W3CDTF">2026-10-05T01:23:15Z</dcterms:modified>
  <dc:language>en-US</dc:language>
</cp:coreProperties>
</file>